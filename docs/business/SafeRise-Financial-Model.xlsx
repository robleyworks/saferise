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vested to date" sheetId="2" state="visible" r:id="rId4"/>
    <sheet name="Assumptions" sheetId="3" state="visible" r:id="rId5"/>
    <sheet name="B2C 3-month" sheetId="4" state="visible" r:id="rId6"/>
    <sheet name="B2B 6-month" sheetId="5" state="visible" r:id="rId7"/>
    <sheet name="Forecast 24-month" sheetId="6" state="visible" r:id="rId8"/>
    <sheet name="Team &amp; cost" sheetId="7" state="visible" r:id="rId9"/>
    <sheet name="Capital as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<sst xmlns="http://schemas.openxmlformats.org/spreadsheetml/2006/main" count="270" uniqueCount="248">
  <si>
    <t xml:space="preserve">SafeRise Protocol — financial model</t>
  </si>
  <si>
    <t xml:space="preserve">Prepared September 2026. Companion to the business summary.</t>
  </si>
  <si>
    <t xml:space="preserve">HOW TO READ THIS</t>
  </si>
  <si>
    <t xml:space="preserve">  BLUE cells are inputs — change these. BLACK cells are formulas — do not overwrite.</t>
  </si>
  <si>
    <t xml:space="preserve">  GREEN cells pull from another sheet. YELLOW cells are assumptions that most need your judgement.</t>
  </si>
  <si>
    <t xml:space="preserve">WHAT IS REAL AND WHAT IS MODELLED</t>
  </si>
  <si>
    <t xml:space="preserve">  Sheet 'Invested to date' is measured — hours derived from counted output, not recalled.</t>
  </si>
  <si>
    <t xml:space="preserve">  Every forward sheet is a model. No revenue exists. No conversion rate has been observed.</t>
  </si>
  <si>
    <t xml:space="preserve">  Every forward number is an assumption you can change, not a projection from data.</t>
  </si>
  <si>
    <t xml:space="preserve">  Cash actually spent to date is NOT in this model — only replacement cost. Enter your</t>
  </si>
  <si>
    <t xml:space="preserve">  real cash outlay in 'Invested to date' cell B14 if you want the model to carry it.</t>
  </si>
  <si>
    <t xml:space="preserve">SHEETS</t>
  </si>
  <si>
    <t xml:space="preserve">  1  Invested to date      What has gone in. Measured replacement cost.</t>
  </si>
  <si>
    <t xml:space="preserve">  2  Assumptions           Every lever in one place.</t>
  </si>
  <si>
    <t xml:space="preserve">  3  B2C 3-month           The consumer launch and what it costs to run it.</t>
  </si>
  <si>
    <t xml:space="preserve">  4  B2B 6-month           Building the organisational business.</t>
  </si>
  <si>
    <t xml:space="preserve">  5  Forecast 24-month     Both revenue lines, monthly.</t>
  </si>
  <si>
    <t xml:space="preserve">  6  Team &amp; cost           Who is needed, when, and what it costs.</t>
  </si>
  <si>
    <t xml:space="preserve">  7  Capital ask           What the money is for, by phase.</t>
  </si>
  <si>
    <t xml:space="preserve">THE HONEST CAVEAT</t>
  </si>
  <si>
    <t xml:space="preserve">  Conversion rates, pilot close rates and churn are guesses until the first cohort exists.</t>
  </si>
  <si>
    <t xml:space="preserve">  They are marked yellow. A backer should test those cells first — they drive everything.</t>
  </si>
  <si>
    <t xml:space="preserve">Invested to date — replacement cost</t>
  </si>
  <si>
    <t xml:space="preserve">Measured from counted output, not recalled. Source: Business Development Assessment, September 2026 (supersedes the 8 Sep baseline of 1,770 h / $155,577).</t>
  </si>
  <si>
    <t xml:space="preserve">Workstream</t>
  </si>
  <si>
    <t xml:space="preserve">Hours</t>
  </si>
  <si>
    <t xml:space="preserve">Rate ($/h)</t>
  </si>
  <si>
    <t xml:space="preserve">Replacement cost</t>
  </si>
  <si>
    <t xml:space="preserve">Product &amp; content</t>
  </si>
  <si>
    <t xml:space="preserve">Web &amp; engineering</t>
  </si>
  <si>
    <t xml:space="preserve">Business &amp; commercial</t>
  </si>
  <si>
    <t xml:space="preserve">Total</t>
  </si>
  <si>
    <t xml:space="preserve">Elapsed equivalent (weeks at 40 h)</t>
  </si>
  <si>
    <t xml:space="preserve">Elapsed equivalent (months)</t>
  </si>
  <si>
    <t xml:space="preserve">Actual cash spent to date (€) — YOU FILL THIS. Entity: Kenor International B.V.</t>
  </si>
  <si>
    <t xml:space="preserve">Domains, hosting, ElevenLabs, tooling, any contractor payments. Replacement cost above is not cash out.</t>
  </si>
  <si>
    <t xml:space="preserve">This is replacement cost, not a valuation. Investors price traction, not sweat equity. Present it as an honest floor: below this, an acquirer gets the asset for less than it cost to make.</t>
  </si>
  <si>
    <t xml:space="preserve">Assumptions — every lever</t>
  </si>
  <si>
    <t xml:space="preserve">Yellow = untested, drives everything, test these first.</t>
  </si>
  <si>
    <t xml:space="preserve">PRICING — settled</t>
  </si>
  <si>
    <t xml:space="preserve">Membership, monthly (€)</t>
  </si>
  <si>
    <t xml:space="preserve">Track 01 free; €19 opens every other track. Supersedes the €19/29/39 ladder (SR-381)</t>
  </si>
  <si>
    <t xml:space="preserve">Membership, annual (€)</t>
  </si>
  <si>
    <t xml:space="preserve">Ten months for twelve</t>
  </si>
  <si>
    <t xml:space="preserve">Workshop, per person (€)</t>
  </si>
  <si>
    <t xml:space="preserve">90 min, remote. NOTE: pitch deck slide 13 says €29 — reconcile</t>
  </si>
  <si>
    <t xml:space="preserve">One-to-one, per session (€)</t>
  </si>
  <si>
    <t xml:space="preserve">Three for €349</t>
  </si>
  <si>
    <t xml:space="preserve">Organisational pilot (€)</t>
  </si>
  <si>
    <t xml:space="preserve">Credited against Foundation within 60 days</t>
  </si>
  <si>
    <t xml:space="preserve">Organisation workshop (€)</t>
  </si>
  <si>
    <t xml:space="preserve">First paid corporate engagement</t>
  </si>
  <si>
    <t xml:space="preserve">Half-day retreat (€)</t>
  </si>
  <si>
    <t xml:space="preserve">Core offer, banded by size (€1,800 small)</t>
  </si>
  <si>
    <t xml:space="preserve">Annual access, band 1 (€)</t>
  </si>
  <si>
    <t xml:space="preserve">BANDED BY HEADCOUNT, never per seat — per-seat implies counting usage</t>
  </si>
  <si>
    <t xml:space="preserve">Annual access, band 2 (€)</t>
  </si>
  <si>
    <t xml:space="preserve">Mid-size organisation</t>
  </si>
  <si>
    <t xml:space="preserve">Annual access, band 3 (€)</t>
  </si>
  <si>
    <t xml:space="preserve">Large. Requires a second facilitator before it can be sold</t>
  </si>
  <si>
    <t xml:space="preserve">B2C — UNTESTED</t>
  </si>
  <si>
    <t xml:space="preserve">Free sign-ups, month 1</t>
  </si>
  <si>
    <t xml:space="preserve">After noindex removal. No data — a guess</t>
  </si>
  <si>
    <t xml:space="preserve">Monthly growth in sign-ups</t>
  </si>
  <si>
    <t xml:space="preserve">Compounding. Organic + content</t>
  </si>
  <si>
    <t xml:space="preserve">Free → paid conversion</t>
  </si>
  <si>
    <t xml:space="preserve">4% is a cautious freemium figure. Untested</t>
  </si>
  <si>
    <t xml:space="preserve">Monthly churn, paid</t>
  </si>
  <si>
    <t xml:space="preserve">6% monthly. Consumer wellness is churn-heavy</t>
  </si>
  <si>
    <t xml:space="preserve">Share choosing annual</t>
  </si>
  <si>
    <t xml:space="preserve">Annual improves cash but lowers monthly recognised</t>
  </si>
  <si>
    <t xml:space="preserve">Monthly growth, months 13-24</t>
  </si>
  <si>
    <t xml:space="preserve">Growth MUST taper. Compounding 35% for two years is fantasy, not a forecast</t>
  </si>
  <si>
    <t xml:space="preserve">B2B — UNTESTED</t>
  </si>
  <si>
    <t xml:space="preserve">Pilots closed per quarter (steady)</t>
  </si>
  <si>
    <t xml:space="preserve">From month 7. Founder-led selling</t>
  </si>
  <si>
    <t xml:space="preserve">Pilot → Foundation conversion</t>
  </si>
  <si>
    <t xml:space="preserve">Credit makes the full contract half-decided</t>
  </si>
  <si>
    <t xml:space="preserve">First B2B revenue month</t>
  </si>
  <si>
    <t xml:space="preserve">Pilot can be sold before the platform is ready</t>
  </si>
  <si>
    <t xml:space="preserve">Share of contracts at Practice</t>
  </si>
  <si>
    <t xml:space="preserve">Most land at Foundation first</t>
  </si>
  <si>
    <t xml:space="preserve">COSTS — monthly</t>
  </si>
  <si>
    <t xml:space="preserve">Hosting, domains, CDN (€)</t>
  </si>
  <si>
    <t xml:space="preserve">Current run rate</t>
  </si>
  <si>
    <t xml:space="preserve">Tooling — ElevenLabs, design, dev (€)</t>
  </si>
  <si>
    <t xml:space="preserve">Audio production is the bulk</t>
  </si>
  <si>
    <t xml:space="preserve">Transactional + marketing email (€)</t>
  </si>
  <si>
    <t xml:space="preserve">Not yet chosen</t>
  </si>
  <si>
    <t xml:space="preserve">Payment processing (% of revenue)</t>
  </si>
  <si>
    <t xml:space="preserve">Paddle merchant-of-record, incl. VAT handling</t>
  </si>
  <si>
    <t xml:space="preserve">Legal &amp; accounting, monthly average (€)</t>
  </si>
  <si>
    <t xml:space="preserve">Entity, terms, DPA, clinical contracting</t>
  </si>
  <si>
    <t xml:space="preserve">Marketing &amp; content (€/month)</t>
  </si>
  <si>
    <t xml:space="preserve">Deliberately low — organic first</t>
  </si>
  <si>
    <t xml:space="preserve">AI tooling — Claude Max 20x, ChatGPT, Runway, API (€/month)</t>
  </si>
  <si>
    <t xml:space="preserve">Substitutes for contract dev, design and video. Scales to ~2,300/mo at full team</t>
  </si>
  <si>
    <t xml:space="preserve">PEOPLE — monthly cost when engaged</t>
  </si>
  <si>
    <t xml:space="preserve">Clinician retainer (€/month)</t>
  </si>
  <si>
    <t xml:space="preserve">Up to 4 h; €120/h beyond. Gates all live delivery</t>
  </si>
  <si>
    <t xml:space="preserve">Facilitator, part-time (€/month)</t>
  </si>
  <si>
    <t xml:space="preserve">Needed before Practice tier is sold</t>
  </si>
  <si>
    <t xml:space="preserve">Contract developer (€/month)</t>
  </si>
  <si>
    <t xml:space="preserve">Org data model, SSO, admin console</t>
  </si>
  <si>
    <t xml:space="preserve">Founder salary (€/month)</t>
  </si>
  <si>
    <t xml:space="preserve">Zero until revenue supports it. Change to model a raise</t>
  </si>
  <si>
    <t xml:space="preserve">B2C — first three months</t>
  </si>
  <si>
    <t xml:space="preserve">Assumes noindex removed at month 1. Every figure derives from Assumptions.</t>
  </si>
  <si>
    <t xml:space="preserve">Month 1</t>
  </si>
  <si>
    <t xml:space="preserve">Month 2</t>
  </si>
  <si>
    <t xml:space="preserve">Month 3</t>
  </si>
  <si>
    <t xml:space="preserve">Quarter</t>
  </si>
  <si>
    <t xml:space="preserve">Free sign-ups added</t>
  </si>
  <si>
    <t xml:space="preserve">Cumulative free accounts</t>
  </si>
  <si>
    <t xml:space="preserve">New paying members</t>
  </si>
  <si>
    <t xml:space="preserve">Paying members (end of month)</t>
  </si>
  <si>
    <t xml:space="preserve">Subscription revenue (€)</t>
  </si>
  <si>
    <t xml:space="preserve">Workshop revenue (€)</t>
  </si>
  <si>
    <t xml:space="preserve">Total revenue (€)</t>
  </si>
  <si>
    <t xml:space="preserve">Operating cost (€)</t>
  </si>
  <si>
    <t xml:space="preserve">Net (€)</t>
  </si>
  <si>
    <t xml:space="preserve">Capital required for the quarter (€)</t>
  </si>
  <si>
    <t xml:space="preserve">Workshops are zero because escalation criteria are not agreed — nothing live can be sold until they are.</t>
  </si>
  <si>
    <t xml:space="preserve">Three months does not reach profitability at any plausible conversion rate. The purpose of this quarter is a conversion number, not revenue.</t>
  </si>
  <si>
    <t xml:space="preserve">B2B — six months to a sellable business</t>
  </si>
  <si>
    <t xml:space="preserve">Month 1 here = month 1 of the raise. B2B revenue cannot begin before the clinical gate closes.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</si>
  <si>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</si>
  <si>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</si>
  <si>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</si>
  <si>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</si>
  <si>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</si>
  <si>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</si>
  <si>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Pilots closed</t>
  </si>
  <si>
    <t xml:space="preserve">Foundation contracts signed</t>
  </si>
  <si>
    <t xml:space="preserve">Pilot revenue (€)</t>
  </si>
  <si>
    <t xml:space="preserve">Foundation revenue, billed annually (€)</t>
  </si>
  <si>
    <t xml:space="preserve">Total B2B revenue (€)</t>
  </si>
  <si>
    <t xml:space="preserve">Build cost — what the six months buys</t>
  </si>
  <si>
    <t xml:space="preserve">Contract developer (€)</t>
  </si>
  <si>
    <t xml:space="preserve">Clinician retainer (€)</t>
  </si>
  <si>
    <t xml:space="preserve">Facilitator (€)</t>
  </si>
  <si>
    <t xml:space="preserve">Shared operating cost (€)</t>
  </si>
  <si>
    <t xml:space="preserve">Total cost (€)</t>
  </si>
  <si>
    <t xml:space="preserve">Cumulative cash (€)</t>
  </si>
  <si>
    <t xml:space="preserve">Peak cash requirement (€)</t>
  </si>
  <si>
    <t xml:space="preserve">Net over the six months (€)</t>
  </si>
  <si>
    <t xml:space="preserve">Pilots begin month 3 — after escalation criteria are agreed, not before.</t>
  </si>
  <si>
    <t xml:space="preserve">Facilitator joins month 4, before the first Foundation contract is delivered, not after it is signed.</t>
  </si>
  <si>
    <t xml:space="preserve">Foundation is billed annually, so month-5 and month-6 revenue is cash in, not recognised revenue.</t>
  </si>
  <si>
    <t xml:space="preserve">24-month forecast — both lines</t>
  </si>
  <si>
    <t xml:space="preserve">Illustrative. Every driver lives in Assumptions. Change one cell and the whole sheet moves.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</si>
  <si>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</si>
  <si>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</si>
  <si>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</si>
  <si>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</si>
  <si>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</si>
  <si>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</si>
  <si>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</si>
  <si>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</si>
  <si>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</si>
  <si>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</si>
  <si>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</si>
  <si>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</si>
  <si>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</si>
  <si>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</si>
  <si>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</si>
  <si>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</si>
  <si>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</si>
  <si>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</si>
  <si>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New paying</t>
  </si>
  <si>
    <t xml:space="preserve">Paying members</t>
  </si>
  <si>
    <t xml:space="preserve">B2C revenue (€)</t>
  </si>
  <si>
    <t xml:space="preserve">Foundation contracts (cumulative)</t>
  </si>
  <si>
    <t xml:space="preserve">B2B revenue (€)</t>
  </si>
  <si>
    <t xml:space="preserve">Cumulative net (€)</t>
  </si>
  <si>
    <t xml:space="preserve">Peak funding need (€)</t>
  </si>
  <si>
    <t xml:space="preserve">Month of peak need</t>
  </si>
  <si>
    <t xml:space="preserve">Peak funding need is the number a backer actually cares about — not total cost, but how deep the hole gets before it turns.</t>
  </si>
  <si>
    <t xml:space="preserve">Team structure — who is needed, and when</t>
  </si>
  <si>
    <t xml:space="preserve">Ordered by what unblocks the most. Nothing here is currently contracted.</t>
  </si>
  <si>
    <t xml:space="preserve">Role</t>
  </si>
  <si>
    <t xml:space="preserve">What it unblocks</t>
  </si>
  <si>
    <t xml:space="preserve">Needed from</t>
  </si>
  <si>
    <t xml:space="preserve">Monthly (€)</t>
  </si>
  <si>
    <t xml:space="preserve">Basis</t>
  </si>
  <si>
    <t xml:space="preserve">Founder</t>
  </si>
  <si>
    <t xml:space="preserve">Method, content, enterprise sales, product direction</t>
  </si>
  <si>
    <t xml:space="preserve">Now</t>
  </si>
  <si>
    <t xml:space="preserve">Unpaid until revenue supports it</t>
  </si>
  <si>
    <t xml:space="preserve">Clinician (retainer)</t>
  </si>
  <si>
    <t xml:space="preserve">Escalation criteria; gates ALL live delivery and both live tiers</t>
  </si>
  <si>
    <t xml:space="preserve">€400/mo up to 4h, €120/h beyond</t>
  </si>
  <si>
    <t xml:space="preserve">Contract developer</t>
  </si>
  <si>
    <t xml:space="preserve">Org account model, seat provisioning, admin, SSO, invoicing</t>
  </si>
  <si>
    <t xml:space="preserve">6-month engagement</t>
  </si>
  <si>
    <t xml:space="preserve">Facilitator #1</t>
  </si>
  <si>
    <t xml:space="preserve">Delivers pilots and Foundation sessions</t>
  </si>
  <si>
    <t xml:space="preserve">Month 4</t>
  </si>
  <si>
    <t xml:space="preserve">Part-time</t>
  </si>
  <si>
    <t xml:space="preserve">Facilitator #2</t>
  </si>
  <si>
    <t xml:space="preserve">Required before Partner tier can be sold at all</t>
  </si>
  <si>
    <t xml:space="preserve">Month 13</t>
  </si>
  <si>
    <t xml:space="preserve">Part-time, scales with pipeline</t>
  </si>
  <si>
    <t xml:space="preserve">Content producer</t>
  </si>
  <si>
    <t xml:space="preserve">Sleep &amp; Recovery, then the substrate tracks</t>
  </si>
  <si>
    <t xml:space="preserve">2800</t>
  </si>
  <si>
    <t xml:space="preserve">Part-time or contract</t>
  </si>
  <si>
    <t xml:space="preserve">Fractional CFO / bookkeeper</t>
  </si>
  <si>
    <t xml:space="preserve">Entity, invoicing, VAT, board reporting</t>
  </si>
  <si>
    <t xml:space="preserve">450</t>
  </si>
  <si>
    <t xml:space="preserve">Monthly</t>
  </si>
  <si>
    <t xml:space="preserve">Total at full complement</t>
  </si>
  <si>
    <t xml:space="preserve">The clinician is the single highest-leverage hire: without agreed escalation criteria, no workshop, no 1:1 and no organisational tier can be sold.</t>
  </si>
  <si>
    <t xml:space="preserve">Facilitator capacity — not demand — is the ceiling on B2B. Foundation costs ~6 facilitator hours a year per account; Practice ~22; Partner ~60.</t>
  </si>
  <si>
    <t xml:space="preserve">Do not sell Partner before Facilitator #2 exists. One in-person day with a scheduling conflict is a broken contract.</t>
  </si>
  <si>
    <t xml:space="preserve">Capital ask — what the money is for</t>
  </si>
  <si>
    <t xml:space="preserve">Capital is not needed to build the product. It exists. It is needed to buy delivery capacity and evidence.</t>
  </si>
  <si>
    <t xml:space="preserve">Use</t>
  </si>
  <si>
    <t xml:space="preserve">Why</t>
  </si>
  <si>
    <t xml:space="preserve">Months</t>
  </si>
  <si>
    <t xml:space="preserve">Amount (€)</t>
  </si>
  <si>
    <t xml:space="preserve">Clinical governance</t>
  </si>
  <si>
    <t xml:space="preserve">Retainer + contracting. Unblocks every live tier</t>
  </si>
  <si>
    <t xml:space="preserve">12</t>
  </si>
  <si>
    <t xml:space="preserve">Engineering</t>
  </si>
  <si>
    <t xml:space="preserve">Org account model, seats, admin, SSO, invoicing</t>
  </si>
  <si>
    <t xml:space="preserve">6</t>
  </si>
  <si>
    <t xml:space="preserve">Facilitation capacity</t>
  </si>
  <si>
    <t xml:space="preserve">Facilitator #1 from month 4</t>
  </si>
  <si>
    <t xml:space="preserve">9</t>
  </si>
  <si>
    <t xml:space="preserve">Content — substrate layer</t>
  </si>
  <si>
    <t xml:space="preserve">Sleep &amp; Recovery, Nutrition, Strength &amp; Return</t>
  </si>
  <si>
    <t xml:space="preserve">10</t>
  </si>
  <si>
    <t xml:space="preserve">Operating run rate</t>
  </si>
  <si>
    <t xml:space="preserve">Hosting, tooling, email, legal, accounting</t>
  </si>
  <si>
    <t xml:space="preserve">AI tooling</t>
  </si>
  <si>
    <t xml:space="preserve">Claude Max and Code, ChatGPT, Runway, API — replaces contract build</t>
  </si>
  <si>
    <t xml:space="preserve">Marketing &amp; content</t>
  </si>
  <si>
    <t xml:space="preserve">Pilots run at or near cost</t>
  </si>
  <si>
    <t xml:space="preserve">Two, to produce the first evidence</t>
  </si>
  <si>
    <t xml:space="preserve">—</t>
  </si>
  <si>
    <t xml:space="preserve">Contingency</t>
  </si>
  <si>
    <t xml:space="preserve">15% — the gaps you cannot see yet</t>
  </si>
  <si>
    <t xml:space="preserve">Total capital ask</t>
  </si>
  <si>
    <t xml:space="preserve">Cross-check: see 'Forecast 24-month' — peak funding need</t>
  </si>
  <si>
    <t xml:space="preserve">Founder salary is set to zero in Assumptions. A backer will ask — decide whether to model a raise before the conversation.</t>
  </si>
  <si>
    <t xml:space="preserve">This ask buys twelve months against three gaps: clinical governance, delivery capacity, evidence. It does not buy product development.</t>
  </si>
  <si>
    <t xml:space="preserve">The milestone that matters is not revenue. It is two written pilot findings reports and a named reference customer.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</si>
</sst>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\$#,##0.0"/>
    <numFmt numFmtId="167" formatCode="\$#,##0"/>
    <numFmt numFmtId="168" formatCode="0.0"/>
    <numFmt numFmtId="169" formatCode="\€#,##0;&quot;(€&quot;#,##0\);\-"/>
    <numFmt numFmtId="170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A1A2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26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A1A2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4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2" t="s">
        <v>11</v>
      </c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3" t="s">
        <v>13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3" t="s">
        <v>17</v>
      </c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2" t="s">
        <v>19</v>
      </c>
    </row>
    <row r="27" customFormat="false" ht="15" hidden="false" customHeight="false" outlineLevel="0" collapsed="false">
      <c r="A27" s="3" t="s">
        <v>20</v>
      </c>
    </row>
    <row r="28" customFormat="false" ht="15" hidden="false" customHeight="false" outlineLevel="0" collapsed="false">
      <c r="A28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21.75" hidden="false" customHeight="true" outlineLevel="0" collapsed="false">
      <c r="A1" s="4" t="s">
        <v>22</v>
      </c>
    </row>
    <row r="2" customFormat="false" ht="15" hidden="false" customHeight="false" outlineLevel="0" collapsed="false">
      <c r="A2" s="5" t="s">
        <v>23</v>
      </c>
    </row>
    <row r="4" customFormat="false" ht="18" hidden="false" customHeight="true" outlineLevel="0" collapsed="false">
      <c r="A4" s="6" t="s">
        <v>24</v>
      </c>
      <c r="B4" s="7" t="s">
        <v>25</v>
      </c>
      <c r="C4" s="7" t="s">
        <v>26</v>
      </c>
      <c r="D4" s="7" t="s">
        <v>27</v>
      </c>
    </row>
    <row r="5" customFormat="false" ht="15" hidden="false" customHeight="false" outlineLevel="0" collapsed="false">
      <c r="A5" s="8" t="s">
        <v>28</v>
      </c>
      <c r="B5" s="9" t="n">
        <v>940</v>
      </c>
      <c r="C5" s="10" t="n">
        <v>89.1</v>
      </c>
      <c r="D5" s="11" t="n">
        <f aca="false">B5*C5</f>
        <v>83754</v>
      </c>
    </row>
    <row r="6" customFormat="false" ht="15" hidden="false" customHeight="false" outlineLevel="0" collapsed="false">
      <c r="A6" s="8" t="s">
        <v>29</v>
      </c>
      <c r="B6" s="9" t="n">
        <v>972</v>
      </c>
      <c r="C6" s="10" t="n">
        <v>76</v>
      </c>
      <c r="D6" s="11" t="n">
        <f aca="false">B6*C6</f>
        <v>73872</v>
      </c>
    </row>
    <row r="7" customFormat="false" ht="15" hidden="false" customHeight="false" outlineLevel="0" collapsed="false">
      <c r="A7" s="8" t="s">
        <v>30</v>
      </c>
      <c r="B7" s="9" t="n">
        <v>404</v>
      </c>
      <c r="C7" s="10" t="n">
        <v>111.9</v>
      </c>
      <c r="D7" s="11" t="n">
        <f aca="false">B7*C7</f>
        <v>45207.6</v>
      </c>
    </row>
    <row r="8" customFormat="false" ht="15" hidden="false" customHeight="false" outlineLevel="0" collapsed="false">
      <c r="A8" s="12" t="s">
        <v>31</v>
      </c>
      <c r="B8" s="13" t="n">
        <f aca="false">SUM(B5:B7)</f>
        <v>2316</v>
      </c>
      <c r="C8" s="14"/>
      <c r="D8" s="15" t="n">
        <f aca="false">SUM(D5:D7)</f>
        <v>202833.6</v>
      </c>
    </row>
    <row r="10" customFormat="false" ht="15" hidden="false" customHeight="false" outlineLevel="0" collapsed="false">
      <c r="A10" s="3" t="s">
        <v>32</v>
      </c>
      <c r="B10" s="16" t="n">
        <f aca="false">B8/40</f>
        <v>57.9</v>
      </c>
    </row>
    <row r="11" customFormat="false" ht="15" hidden="false" customHeight="false" outlineLevel="0" collapsed="false">
      <c r="A11" s="3" t="s">
        <v>33</v>
      </c>
      <c r="B11" s="16" t="n">
        <f aca="false">B8/40/4.33</f>
        <v>13.3718244803695</v>
      </c>
    </row>
    <row r="13" customFormat="false" ht="15" hidden="false" customHeight="false" outlineLevel="0" collapsed="false">
      <c r="A13" s="2" t="s">
        <v>34</v>
      </c>
      <c r="B13" s="17"/>
    </row>
    <row r="14" customFormat="false" ht="15" hidden="false" customHeight="false" outlineLevel="0" collapsed="false">
      <c r="A14" s="5" t="s">
        <v>35</v>
      </c>
    </row>
    <row r="16" customFormat="false" ht="15" hidden="false" customHeight="false" outlineLevel="0" collapsed="false">
      <c r="A16" s="5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3" min="3" style="0" width="58"/>
  </cols>
  <sheetData>
    <row r="1" customFormat="false" ht="21.75" hidden="false" customHeight="true" outlineLevel="0" collapsed="false">
      <c r="A1" s="4" t="s">
        <v>37</v>
      </c>
    </row>
    <row r="2" customFormat="false" ht="15" hidden="false" customHeight="false" outlineLevel="0" collapsed="false">
      <c r="A2" s="5" t="s">
        <v>38</v>
      </c>
    </row>
    <row r="4" customFormat="false" ht="15" hidden="false" customHeight="false" outlineLevel="0" collapsed="false">
      <c r="A4" s="18" t="s">
        <v>39</v>
      </c>
      <c r="B4" s="19"/>
      <c r="C4" s="19"/>
    </row>
    <row r="5" customFormat="false" ht="15" hidden="false" customHeight="false" outlineLevel="0" collapsed="false">
      <c r="A5" s="3" t="s">
        <v>40</v>
      </c>
      <c r="B5" s="20" t="n">
        <v>19</v>
      </c>
      <c r="C5" s="5" t="s">
        <v>41</v>
      </c>
    </row>
    <row r="6" customFormat="false" ht="15" hidden="false" customHeight="false" outlineLevel="0" collapsed="false">
      <c r="A6" s="3" t="s">
        <v>42</v>
      </c>
      <c r="B6" s="20" t="n">
        <v>190</v>
      </c>
      <c r="C6" s="5" t="s">
        <v>43</v>
      </c>
    </row>
    <row r="7" customFormat="false" ht="15" hidden="false" customHeight="false" outlineLevel="0" collapsed="false">
      <c r="A7" s="3" t="s">
        <v>44</v>
      </c>
      <c r="B7" s="20" t="n">
        <v>39</v>
      </c>
      <c r="C7" s="5" t="s">
        <v>45</v>
      </c>
    </row>
    <row r="8" customFormat="false" ht="15" hidden="false" customHeight="false" outlineLevel="0" collapsed="false">
      <c r="A8" s="3" t="s">
        <v>46</v>
      </c>
      <c r="B8" s="20" t="n">
        <v>129</v>
      </c>
      <c r="C8" s="5" t="s">
        <v>47</v>
      </c>
    </row>
    <row r="9" customFormat="false" ht="15" hidden="false" customHeight="false" outlineLevel="0" collapsed="false">
      <c r="A9" s="3" t="s">
        <v>48</v>
      </c>
      <c r="B9" s="20" t="n">
        <v>4500</v>
      </c>
      <c r="C9" s="5" t="s">
        <v>49</v>
      </c>
    </row>
    <row r="10" customFormat="false" ht="15" hidden="false" customHeight="false" outlineLevel="0" collapsed="false">
      <c r="A10" s="3" t="s">
        <v>50</v>
      </c>
      <c r="B10" s="20" t="n">
        <v>1800</v>
      </c>
      <c r="C10" s="5" t="s">
        <v>51</v>
      </c>
    </row>
    <row r="11" customFormat="false" ht="15" hidden="false" customHeight="false" outlineLevel="0" collapsed="false">
      <c r="A11" s="3" t="s">
        <v>52</v>
      </c>
      <c r="B11" s="20" t="n">
        <v>3500</v>
      </c>
      <c r="C11" s="5" t="s">
        <v>53</v>
      </c>
    </row>
    <row r="12" customFormat="false" ht="15" hidden="false" customHeight="false" outlineLevel="0" collapsed="false">
      <c r="A12" s="3" t="s">
        <v>54</v>
      </c>
      <c r="B12" s="20" t="n">
        <v>9000</v>
      </c>
      <c r="C12" s="5" t="s">
        <v>55</v>
      </c>
    </row>
    <row r="13" customFormat="false" ht="15" hidden="false" customHeight="false" outlineLevel="0" collapsed="false">
      <c r="A13" s="3" t="s">
        <v>56</v>
      </c>
      <c r="B13" s="20" t="n">
        <v>38000</v>
      </c>
      <c r="C13" s="5" t="s">
        <v>57</v>
      </c>
    </row>
    <row r="14" customFormat="false" ht="15" hidden="false" customHeight="false" outlineLevel="0" collapsed="false">
      <c r="A14" s="3" t="s">
        <v>58</v>
      </c>
      <c r="B14" s="20" t="n">
        <v>95000</v>
      </c>
      <c r="C14" s="5" t="s">
        <v>59</v>
      </c>
    </row>
    <row r="16" customFormat="false" ht="15" hidden="false" customHeight="false" outlineLevel="0" collapsed="false">
      <c r="A16" s="18" t="s">
        <v>60</v>
      </c>
      <c r="B16" s="19"/>
      <c r="C16" s="19"/>
    </row>
    <row r="17" customFormat="false" ht="15" hidden="false" customHeight="false" outlineLevel="0" collapsed="false">
      <c r="A17" s="3" t="s">
        <v>61</v>
      </c>
      <c r="B17" s="21" t="n">
        <v>250</v>
      </c>
      <c r="C17" s="5" t="s">
        <v>62</v>
      </c>
    </row>
    <row r="18" customFormat="false" ht="15" hidden="false" customHeight="false" outlineLevel="0" collapsed="false">
      <c r="A18" s="3" t="s">
        <v>63</v>
      </c>
      <c r="B18" s="22" t="n">
        <v>0.35</v>
      </c>
      <c r="C18" s="5" t="s">
        <v>64</v>
      </c>
    </row>
    <row r="19" customFormat="false" ht="15" hidden="false" customHeight="false" outlineLevel="0" collapsed="false">
      <c r="A19" s="3" t="s">
        <v>65</v>
      </c>
      <c r="B19" s="22" t="n">
        <v>0.04</v>
      </c>
      <c r="C19" s="5" t="s">
        <v>66</v>
      </c>
    </row>
    <row r="20" customFormat="false" ht="15" hidden="false" customHeight="false" outlineLevel="0" collapsed="false">
      <c r="A20" s="3" t="s">
        <v>67</v>
      </c>
      <c r="B20" s="22" t="n">
        <v>0.06</v>
      </c>
      <c r="C20" s="5" t="s">
        <v>68</v>
      </c>
    </row>
    <row r="21" customFormat="false" ht="15" hidden="false" customHeight="false" outlineLevel="0" collapsed="false">
      <c r="A21" s="3" t="s">
        <v>69</v>
      </c>
      <c r="B21" s="22" t="n">
        <v>0.25</v>
      </c>
      <c r="C21" s="5" t="s">
        <v>70</v>
      </c>
    </row>
    <row r="22" customFormat="false" ht="15" hidden="false" customHeight="false" outlineLevel="0" collapsed="false">
      <c r="A22" s="3" t="s">
        <v>71</v>
      </c>
      <c r="B22" s="22" t="n">
        <v>0.08</v>
      </c>
      <c r="C22" s="5" t="s">
        <v>72</v>
      </c>
    </row>
    <row r="24" customFormat="false" ht="15" hidden="false" customHeight="false" outlineLevel="0" collapsed="false">
      <c r="A24" s="18" t="s">
        <v>73</v>
      </c>
      <c r="B24" s="19"/>
      <c r="C24" s="19"/>
    </row>
    <row r="25" customFormat="false" ht="15" hidden="false" customHeight="false" outlineLevel="0" collapsed="false">
      <c r="A25" s="3" t="s">
        <v>74</v>
      </c>
      <c r="B25" s="21" t="n">
        <v>2</v>
      </c>
      <c r="C25" s="5" t="s">
        <v>75</v>
      </c>
    </row>
    <row r="26" customFormat="false" ht="15" hidden="false" customHeight="false" outlineLevel="0" collapsed="false">
      <c r="A26" s="3" t="s">
        <v>76</v>
      </c>
      <c r="B26" s="22" t="n">
        <v>0.4</v>
      </c>
      <c r="C26" s="5" t="s">
        <v>77</v>
      </c>
    </row>
    <row r="27" customFormat="false" ht="15" hidden="false" customHeight="false" outlineLevel="0" collapsed="false">
      <c r="A27" s="3" t="s">
        <v>78</v>
      </c>
      <c r="B27" s="9" t="n">
        <v>4</v>
      </c>
      <c r="C27" s="5" t="s">
        <v>79</v>
      </c>
    </row>
    <row r="28" customFormat="false" ht="15" hidden="false" customHeight="false" outlineLevel="0" collapsed="false">
      <c r="A28" s="3" t="s">
        <v>80</v>
      </c>
      <c r="B28" s="22" t="n">
        <v>0.2</v>
      </c>
      <c r="C28" s="5" t="s">
        <v>81</v>
      </c>
    </row>
    <row r="30" customFormat="false" ht="15" hidden="false" customHeight="false" outlineLevel="0" collapsed="false">
      <c r="A30" s="18" t="s">
        <v>82</v>
      </c>
      <c r="B30" s="19"/>
      <c r="C30" s="19"/>
    </row>
    <row r="31" customFormat="false" ht="15" hidden="false" customHeight="false" outlineLevel="0" collapsed="false">
      <c r="A31" s="3" t="s">
        <v>83</v>
      </c>
      <c r="B31" s="20" t="n">
        <v>120</v>
      </c>
      <c r="C31" s="5" t="s">
        <v>84</v>
      </c>
    </row>
    <row r="32" customFormat="false" ht="15" hidden="false" customHeight="false" outlineLevel="0" collapsed="false">
      <c r="A32" s="3" t="s">
        <v>85</v>
      </c>
      <c r="B32" s="20" t="n">
        <v>350</v>
      </c>
      <c r="C32" s="5" t="s">
        <v>86</v>
      </c>
    </row>
    <row r="33" customFormat="false" ht="15" hidden="false" customHeight="false" outlineLevel="0" collapsed="false">
      <c r="A33" s="3" t="s">
        <v>87</v>
      </c>
      <c r="B33" s="20" t="n">
        <v>60</v>
      </c>
      <c r="C33" s="5" t="s">
        <v>88</v>
      </c>
    </row>
    <row r="34" customFormat="false" ht="15" hidden="false" customHeight="false" outlineLevel="0" collapsed="false">
      <c r="A34" s="3" t="s">
        <v>89</v>
      </c>
      <c r="B34" s="23" t="n">
        <v>0.05</v>
      </c>
      <c r="C34" s="5" t="s">
        <v>90</v>
      </c>
    </row>
    <row r="35" customFormat="false" ht="15" hidden="false" customHeight="false" outlineLevel="0" collapsed="false">
      <c r="A35" s="3" t="s">
        <v>91</v>
      </c>
      <c r="B35" s="20" t="n">
        <v>400</v>
      </c>
      <c r="C35" s="5" t="s">
        <v>92</v>
      </c>
    </row>
    <row r="36" customFormat="false" ht="15" hidden="false" customHeight="false" outlineLevel="0" collapsed="false">
      <c r="A36" s="3" t="s">
        <v>93</v>
      </c>
      <c r="B36" s="17" t="n">
        <v>800</v>
      </c>
      <c r="C36" s="5" t="s">
        <v>94</v>
      </c>
    </row>
    <row r="37" customFormat="false" ht="15" hidden="false" customHeight="false" outlineLevel="0" collapsed="false">
      <c r="A37" s="3" t="s">
        <v>95</v>
      </c>
      <c r="B37" s="20" t="n">
        <v>250</v>
      </c>
      <c r="C37" s="5" t="s">
        <v>96</v>
      </c>
    </row>
    <row r="39" customFormat="false" ht="15" hidden="false" customHeight="false" outlineLevel="0" collapsed="false">
      <c r="A39" s="18" t="s">
        <v>97</v>
      </c>
      <c r="B39" s="19"/>
      <c r="C39" s="19"/>
    </row>
    <row r="40" customFormat="false" ht="15" hidden="false" customHeight="false" outlineLevel="0" collapsed="false">
      <c r="A40" s="3" t="s">
        <v>98</v>
      </c>
      <c r="B40" s="20" t="n">
        <v>400</v>
      </c>
      <c r="C40" s="5" t="s">
        <v>99</v>
      </c>
    </row>
    <row r="41" customFormat="false" ht="15" hidden="false" customHeight="false" outlineLevel="0" collapsed="false">
      <c r="A41" s="3" t="s">
        <v>100</v>
      </c>
      <c r="B41" s="20" t="n">
        <v>2200</v>
      </c>
      <c r="C41" s="5" t="s">
        <v>101</v>
      </c>
    </row>
    <row r="42" customFormat="false" ht="15" hidden="false" customHeight="false" outlineLevel="0" collapsed="false">
      <c r="A42" s="3" t="s">
        <v>102</v>
      </c>
      <c r="B42" s="20" t="n">
        <v>4500</v>
      </c>
      <c r="C42" s="5" t="s">
        <v>103</v>
      </c>
    </row>
    <row r="43" customFormat="false" ht="15" hidden="false" customHeight="false" outlineLevel="0" collapsed="false">
      <c r="A43" s="3" t="s">
        <v>104</v>
      </c>
      <c r="B43" s="17" t="n">
        <v>0</v>
      </c>
      <c r="C43" s="5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5"/>
  </cols>
  <sheetData>
    <row r="1" customFormat="false" ht="21.75" hidden="false" customHeight="true" outlineLevel="0" collapsed="false">
      <c r="A1" s="4" t="s">
        <v>106</v>
      </c>
    </row>
    <row r="2" customFormat="false" ht="15" hidden="false" customHeight="false" outlineLevel="0" collapsed="false">
      <c r="A2" s="5" t="s">
        <v>107</v>
      </c>
    </row>
    <row r="4" customFormat="false" ht="18" hidden="false" customHeight="true" outlineLevel="0" collapsed="false">
      <c r="A4" s="6"/>
      <c r="B4" s="7" t="s">
        <v>108</v>
      </c>
      <c r="C4" s="7" t="s">
        <v>109</v>
      </c>
      <c r="D4" s="7" t="s">
        <v>110</v>
      </c>
      <c r="E4" s="7" t="s">
        <v>111</v>
      </c>
    </row>
    <row r="5" customFormat="false" ht="15" hidden="false" customHeight="false" outlineLevel="0" collapsed="false">
      <c r="A5" s="3" t="s">
        <v>112</v>
      </c>
      <c r="B5" s="24" t="n">
        <f aca="false">Assumptions!$B$17</f>
        <v>250</v>
      </c>
      <c r="C5" s="24" t="n">
        <f aca="false">B5*(1+Assumptions!$B$18)</f>
        <v>337.5</v>
      </c>
      <c r="D5" s="24" t="n">
        <f aca="false">C5*(1+Assumptions!$B$18)</f>
        <v>455.625</v>
      </c>
      <c r="E5" s="24" t="n">
        <f aca="false">SUM(B5:D5)</f>
        <v>1043.125</v>
      </c>
    </row>
    <row r="6" customFormat="false" ht="15" hidden="false" customHeight="false" outlineLevel="0" collapsed="false">
      <c r="A6" s="3" t="s">
        <v>113</v>
      </c>
      <c r="B6" s="24" t="n">
        <f aca="false">B5</f>
        <v>250</v>
      </c>
      <c r="C6" s="24" t="n">
        <f aca="false">B6+C5</f>
        <v>587.5</v>
      </c>
      <c r="D6" s="24" t="n">
        <f aca="false">C6+D5</f>
        <v>1043.125</v>
      </c>
      <c r="E6" s="24" t="n">
        <f aca="false">D6</f>
        <v>1043.125</v>
      </c>
    </row>
    <row r="7" customFormat="false" ht="15" hidden="false" customHeight="false" outlineLevel="0" collapsed="false">
      <c r="A7" s="3" t="s">
        <v>114</v>
      </c>
      <c r="B7" s="24" t="n">
        <f aca="false">B5*Assumptions!$B$19</f>
        <v>10</v>
      </c>
      <c r="C7" s="24" t="n">
        <f aca="false">C5*Assumptions!$B$19</f>
        <v>13.5</v>
      </c>
      <c r="D7" s="24" t="n">
        <f aca="false">D5*Assumptions!$B$19</f>
        <v>18.225</v>
      </c>
      <c r="E7" s="24" t="n">
        <f aca="false">SUM(B7:D7)</f>
        <v>41.725</v>
      </c>
    </row>
    <row r="8" customFormat="false" ht="15" hidden="false" customHeight="false" outlineLevel="0" collapsed="false">
      <c r="A8" s="3" t="s">
        <v>115</v>
      </c>
      <c r="B8" s="24" t="n">
        <f aca="false">B7</f>
        <v>10</v>
      </c>
      <c r="C8" s="24" t="n">
        <f aca="false">B8*(1-Assumptions!$B$20)+C7</f>
        <v>22.9</v>
      </c>
      <c r="D8" s="24" t="n">
        <f aca="false">C8*(1-Assumptions!$B$20)+D7</f>
        <v>39.751</v>
      </c>
      <c r="E8" s="24" t="n">
        <f aca="false">D8</f>
        <v>39.751</v>
      </c>
    </row>
    <row r="10" customFormat="false" ht="15" hidden="false" customHeight="false" outlineLevel="0" collapsed="false">
      <c r="A10" s="3" t="s">
        <v>116</v>
      </c>
      <c r="B10" s="25" t="n">
        <f aca="false">B8*Assumptions!$B$5</f>
        <v>190</v>
      </c>
      <c r="C10" s="25" t="n">
        <f aca="false">C8*Assumptions!$B$5</f>
        <v>435.1</v>
      </c>
      <c r="D10" s="25" t="n">
        <f aca="false">D8*Assumptions!$B$5</f>
        <v>755.269</v>
      </c>
      <c r="E10" s="25" t="n">
        <f aca="false">SUM(B10:D10)</f>
        <v>1380.369</v>
      </c>
    </row>
    <row r="11" customFormat="false" ht="15" hidden="false" customHeight="false" outlineLevel="0" collapsed="false">
      <c r="A11" s="3" t="s">
        <v>117</v>
      </c>
      <c r="B11" s="25" t="n">
        <f aca="false">0</f>
        <v>0</v>
      </c>
      <c r="C11" s="25" t="n">
        <f aca="false">0</f>
        <v>0</v>
      </c>
      <c r="D11" s="25" t="n">
        <f aca="false">0</f>
        <v>0</v>
      </c>
      <c r="E11" s="25" t="n">
        <f aca="false">SUM(B11:D11)</f>
        <v>0</v>
      </c>
    </row>
    <row r="12" customFormat="false" ht="15" hidden="false" customHeight="false" outlineLevel="0" collapsed="false">
      <c r="A12" s="2" t="s">
        <v>118</v>
      </c>
      <c r="B12" s="26" t="n">
        <f aca="false">B10+B11</f>
        <v>190</v>
      </c>
      <c r="C12" s="26" t="n">
        <f aca="false">C10+C11</f>
        <v>435.1</v>
      </c>
      <c r="D12" s="26" t="n">
        <f aca="false">D10+D11</f>
        <v>755.269</v>
      </c>
      <c r="E12" s="26" t="n">
        <f aca="false">SUM(B12:D12)</f>
        <v>1380.369</v>
      </c>
    </row>
    <row r="14" customFormat="false" ht="15" hidden="false" customHeight="false" outlineLevel="0" collapsed="false">
      <c r="A14" s="3" t="s">
        <v>119</v>
      </c>
      <c r="B14" s="25" t="n">
        <f aca="false">(Assumptions!$B$31+Assumptions!$B$32+Assumptions!$B$33+Assumptions!$B$35+Assumptions!$B$36+Assumptions!$B$43)+B12*Assumptions!$B$34</f>
        <v>1739.5</v>
      </c>
      <c r="C14" s="25" t="n">
        <f aca="false">(Assumptions!$B$31+Assumptions!$B$32+Assumptions!$B$33+Assumptions!$B$35+Assumptions!$B$36+Assumptions!$B$43)+C12*Assumptions!$B$34</f>
        <v>1751.755</v>
      </c>
      <c r="D14" s="25" t="n">
        <f aca="false">(Assumptions!$B$31+Assumptions!$B$32+Assumptions!$B$33+Assumptions!$B$35+Assumptions!$B$36+Assumptions!$B$43)+D12*Assumptions!$B$34</f>
        <v>1767.76345</v>
      </c>
      <c r="E14" s="25" t="n">
        <f aca="false">SUM(B14:D14)</f>
        <v>5259.01845</v>
      </c>
    </row>
    <row r="15" customFormat="false" ht="15" hidden="false" customHeight="false" outlineLevel="0" collapsed="false">
      <c r="A15" s="2" t="s">
        <v>120</v>
      </c>
      <c r="B15" s="26" t="n">
        <f aca="false">B12-B14</f>
        <v>-1549.5</v>
      </c>
      <c r="C15" s="26" t="n">
        <f aca="false">C12-C14</f>
        <v>-1316.655</v>
      </c>
      <c r="D15" s="26" t="n">
        <f aca="false">D12-D14</f>
        <v>-1012.49445</v>
      </c>
      <c r="E15" s="26" t="n">
        <f aca="false">E12-E14</f>
        <v>-3878.64945</v>
      </c>
    </row>
    <row r="18" customFormat="false" ht="15" hidden="false" customHeight="false" outlineLevel="0" collapsed="false">
      <c r="A18" s="2" t="s">
        <v>121</v>
      </c>
      <c r="B18" s="27" t="n">
        <f aca="false">-MIN(0,E15)</f>
        <v>3878.64945</v>
      </c>
    </row>
    <row r="20" customFormat="false" ht="15" hidden="false" customHeight="false" outlineLevel="0" collapsed="false">
      <c r="A20" s="5" t="s">
        <v>122</v>
      </c>
    </row>
    <row r="21" customFormat="false" ht="15" hidden="false" customHeight="false" outlineLevel="0" collapsed="false">
      <c r="A21" s="5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3"/>
  </cols>
  <sheetData>
    <row r="1" customFormat="false" ht="21.75" hidden="false" customHeight="true" outlineLevel="0" collapsed="false">
      <c r="A1" s="4" t="s">
        <v>124</v>
      </c>
    </row>
    <row r="2" customFormat="false" ht="15" hidden="false" customHeight="false" outlineLevel="0" collapsed="false">
      <c r="A2" s="5" t="s">
        <v>125</v>
      </c>
    </row>
    <row r="4" customFormat="false" ht="18" hidden="false" customHeight="true" outlineLevel="0" collapsed="false">
      <c r="A4" s="6"/>
      <c r="B4" s="7" t="s">
        <v>126</v>
      </c>
      <c r="C4" s="7" t="s">
        <v>127</v>
      </c>
      <c r="D4" s="7" t="s">
        <v>128</v>
      </c>
      <c r="E4" s="7" t="s">
        <v>129</v>
      </c>
      <c r="F4" s="7" t="s">
        <v>130</v>
      </c>
      <c r="G4" s="7" t="s">
        <v>131</v>
      </c>
      <c r="H4" s="7" t="s">
        <v>31</v>
      </c>
    </row>
    <row r="5" customFormat="false" ht="15" hidden="false" customHeight="false" outlineLevel="0" collapsed="false">
      <c r="A5" s="3" t="s">
        <v>132</v>
      </c>
      <c r="B5" s="24" t="n">
        <v>0</v>
      </c>
      <c r="C5" s="24" t="n">
        <v>0</v>
      </c>
      <c r="D5" s="24" t="n">
        <v>1</v>
      </c>
      <c r="E5" s="24" t="n">
        <v>1</v>
      </c>
      <c r="F5" s="24" t="n">
        <v>2</v>
      </c>
      <c r="G5" s="24" t="n">
        <v>2</v>
      </c>
      <c r="H5" s="28" t="n">
        <f aca="false">SUM(B5:G5)</f>
        <v>6</v>
      </c>
    </row>
    <row r="6" customFormat="false" ht="15" hidden="false" customHeight="false" outlineLevel="0" collapsed="false">
      <c r="A6" s="3" t="s">
        <v>133</v>
      </c>
      <c r="B6" s="24" t="n">
        <v>0</v>
      </c>
      <c r="C6" s="24" t="n">
        <v>0</v>
      </c>
      <c r="D6" s="24" t="n">
        <v>0</v>
      </c>
      <c r="E6" s="24" t="n">
        <v>0</v>
      </c>
      <c r="F6" s="24" t="n">
        <v>1</v>
      </c>
      <c r="G6" s="24" t="n">
        <v>1</v>
      </c>
      <c r="H6" s="28" t="n">
        <f aca="false">SUM(B6:G6)</f>
        <v>2</v>
      </c>
    </row>
    <row r="8" customFormat="false" ht="15" hidden="false" customHeight="false" outlineLevel="0" collapsed="false">
      <c r="A8" s="3" t="s">
        <v>134</v>
      </c>
      <c r="B8" s="25" t="n">
        <f aca="false">B5*Assumptions!$B$9</f>
        <v>0</v>
      </c>
      <c r="C8" s="25" t="n">
        <f aca="false">C5*Assumptions!$B$9</f>
        <v>0</v>
      </c>
      <c r="D8" s="25" t="n">
        <f aca="false">D5*Assumptions!$B$9</f>
        <v>4500</v>
      </c>
      <c r="E8" s="25" t="n">
        <f aca="false">E5*Assumptions!$B$9</f>
        <v>4500</v>
      </c>
      <c r="F8" s="25" t="n">
        <f aca="false">F5*Assumptions!$B$9</f>
        <v>9000</v>
      </c>
      <c r="G8" s="25" t="n">
        <f aca="false">G5*Assumptions!$B$9</f>
        <v>9000</v>
      </c>
      <c r="H8" s="26" t="n">
        <f aca="false">SUM(B8:G8)</f>
        <v>27000</v>
      </c>
    </row>
    <row r="9" customFormat="false" ht="15" hidden="false" customHeight="false" outlineLevel="0" collapsed="false">
      <c r="A9" s="3" t="s">
        <v>135</v>
      </c>
      <c r="B9" s="25" t="n">
        <f aca="false">B6*Assumptions!$B$12</f>
        <v>0</v>
      </c>
      <c r="C9" s="25" t="n">
        <f aca="false">C6*Assumptions!$B$12</f>
        <v>0</v>
      </c>
      <c r="D9" s="25" t="n">
        <f aca="false">D6*Assumptions!$B$12</f>
        <v>0</v>
      </c>
      <c r="E9" s="25" t="n">
        <f aca="false">E6*Assumptions!$B$12</f>
        <v>0</v>
      </c>
      <c r="F9" s="25" t="n">
        <f aca="false">F6*Assumptions!$B$12</f>
        <v>9000</v>
      </c>
      <c r="G9" s="25" t="n">
        <f aca="false">G6*Assumptions!$B$12</f>
        <v>9000</v>
      </c>
      <c r="H9" s="26" t="n">
        <f aca="false">SUM(B9:G9)</f>
        <v>18000</v>
      </c>
    </row>
    <row r="10" customFormat="false" ht="15" hidden="false" customHeight="false" outlineLevel="0" collapsed="false">
      <c r="A10" s="2" t="s">
        <v>136</v>
      </c>
      <c r="B10" s="26" t="n">
        <f aca="false">B8+B9</f>
        <v>0</v>
      </c>
      <c r="C10" s="26" t="n">
        <f aca="false">C8+C9</f>
        <v>0</v>
      </c>
      <c r="D10" s="26" t="n">
        <f aca="false">D8+D9</f>
        <v>4500</v>
      </c>
      <c r="E10" s="26" t="n">
        <f aca="false">E8+E9</f>
        <v>4500</v>
      </c>
      <c r="F10" s="26" t="n">
        <f aca="false">F8+F9</f>
        <v>18000</v>
      </c>
      <c r="G10" s="26" t="n">
        <f aca="false">G8+G9</f>
        <v>18000</v>
      </c>
      <c r="H10" s="26" t="n">
        <f aca="false">SUM(B10:G10)</f>
        <v>45000</v>
      </c>
    </row>
    <row r="12" customFormat="false" ht="15" hidden="false" customHeight="false" outlineLevel="0" collapsed="false">
      <c r="A12" s="18" t="s">
        <v>137</v>
      </c>
      <c r="B12" s="19"/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A13" s="3" t="s">
        <v>138</v>
      </c>
      <c r="B13" s="25" t="n">
        <f aca="false">Assumptions!$B$42</f>
        <v>4500</v>
      </c>
      <c r="C13" s="25" t="n">
        <f aca="false">Assumptions!$B$42</f>
        <v>4500</v>
      </c>
      <c r="D13" s="25" t="n">
        <f aca="false">Assumptions!$B$42</f>
        <v>4500</v>
      </c>
      <c r="E13" s="25" t="n">
        <f aca="false">Assumptions!$B$42</f>
        <v>4500</v>
      </c>
      <c r="F13" s="25" t="n">
        <f aca="false">Assumptions!$B$42</f>
        <v>4500</v>
      </c>
      <c r="G13" s="25" t="n">
        <f aca="false">Assumptions!$B$42</f>
        <v>4500</v>
      </c>
      <c r="H13" s="26" t="n">
        <f aca="false">SUM(B13:G13)</f>
        <v>27000</v>
      </c>
    </row>
    <row r="14" customFormat="false" ht="15" hidden="false" customHeight="false" outlineLevel="0" collapsed="false">
      <c r="A14" s="3" t="s">
        <v>139</v>
      </c>
      <c r="B14" s="25" t="n">
        <f aca="false">Assumptions!$B$40</f>
        <v>400</v>
      </c>
      <c r="C14" s="25" t="n">
        <f aca="false">Assumptions!$B$40</f>
        <v>400</v>
      </c>
      <c r="D14" s="25" t="n">
        <f aca="false">Assumptions!$B$40</f>
        <v>400</v>
      </c>
      <c r="E14" s="25" t="n">
        <f aca="false">Assumptions!$B$40</f>
        <v>400</v>
      </c>
      <c r="F14" s="25" t="n">
        <f aca="false">Assumptions!$B$40</f>
        <v>400</v>
      </c>
      <c r="G14" s="25" t="n">
        <f aca="false">Assumptions!$B$40</f>
        <v>400</v>
      </c>
      <c r="H14" s="26" t="n">
        <f aca="false">SUM(B14:G14)</f>
        <v>2400</v>
      </c>
    </row>
    <row r="15" customFormat="false" ht="15" hidden="false" customHeight="false" outlineLevel="0" collapsed="false">
      <c r="A15" s="3" t="s">
        <v>140</v>
      </c>
      <c r="B15" s="25" t="n">
        <v>0</v>
      </c>
      <c r="C15" s="25" t="n">
        <v>0</v>
      </c>
      <c r="D15" s="25" t="n">
        <v>0</v>
      </c>
      <c r="E15" s="25" t="n">
        <f aca="false">Assumptions!$B$41</f>
        <v>2200</v>
      </c>
      <c r="F15" s="25" t="n">
        <f aca="false">Assumptions!$B$41</f>
        <v>2200</v>
      </c>
      <c r="G15" s="25" t="n">
        <f aca="false">Assumptions!$B$41</f>
        <v>2200</v>
      </c>
      <c r="H15" s="26" t="n">
        <f aca="false">SUM(B15:G15)</f>
        <v>6600</v>
      </c>
    </row>
    <row r="16" customFormat="false" ht="15" hidden="false" customHeight="false" outlineLevel="0" collapsed="false">
      <c r="A16" s="3" t="s">
        <v>141</v>
      </c>
      <c r="B16" s="25" t="n">
        <f aca="false">(Assumptions!$B$31+Assumptions!$B$32+Assumptions!$B$33+Assumptions!$B$35+Assumptions!$B$36+Assumptions!$B$37+Assumptions!$B$43)</f>
        <v>1980</v>
      </c>
      <c r="C16" s="25" t="n">
        <f aca="false">(Assumptions!$B$31+Assumptions!$B$32+Assumptions!$B$33+Assumptions!$B$35+Assumptions!$B$36+Assumptions!$B$37+Assumptions!$B$43)</f>
        <v>1980</v>
      </c>
      <c r="D16" s="25" t="n">
        <f aca="false">(Assumptions!$B$31+Assumptions!$B$32+Assumptions!$B$33+Assumptions!$B$35+Assumptions!$B$36+Assumptions!$B$37+Assumptions!$B$43)</f>
        <v>1980</v>
      </c>
      <c r="E16" s="25" t="n">
        <f aca="false">(Assumptions!$B$31+Assumptions!$B$32+Assumptions!$B$33+Assumptions!$B$35+Assumptions!$B$36+Assumptions!$B$37+Assumptions!$B$43)</f>
        <v>1980</v>
      </c>
      <c r="F16" s="25" t="n">
        <f aca="false">(Assumptions!$B$31+Assumptions!$B$32+Assumptions!$B$33+Assumptions!$B$35+Assumptions!$B$36+Assumptions!$B$37+Assumptions!$B$43)</f>
        <v>1980</v>
      </c>
      <c r="G16" s="25" t="n">
        <f aca="false">(Assumptions!$B$31+Assumptions!$B$32+Assumptions!$B$33+Assumptions!$B$35+Assumptions!$B$36+Assumptions!$B$37+Assumptions!$B$43)</f>
        <v>1980</v>
      </c>
      <c r="H16" s="26" t="n">
        <f aca="false">SUM(B16:G16)</f>
        <v>11880</v>
      </c>
    </row>
    <row r="17" customFormat="false" ht="15" hidden="false" customHeight="false" outlineLevel="0" collapsed="false">
      <c r="A17" s="2" t="s">
        <v>142</v>
      </c>
      <c r="B17" s="26" t="n">
        <f aca="false">B13+B14+B15+B16</f>
        <v>6880</v>
      </c>
      <c r="C17" s="26" t="n">
        <f aca="false">C13+C14+C15+C16</f>
        <v>6880</v>
      </c>
      <c r="D17" s="26" t="n">
        <f aca="false">D13+D14+D15+D16</f>
        <v>6880</v>
      </c>
      <c r="E17" s="26" t="n">
        <f aca="false">E13+E14+E15+E16</f>
        <v>9080</v>
      </c>
      <c r="F17" s="26" t="n">
        <f aca="false">F13+F14+F15+F16</f>
        <v>9080</v>
      </c>
      <c r="G17" s="26" t="n">
        <f aca="false">G13+G14+G15+G16</f>
        <v>9080</v>
      </c>
      <c r="H17" s="26" t="n">
        <f aca="false">SUM(B17:G17)</f>
        <v>47880</v>
      </c>
    </row>
    <row r="18" customFormat="false" ht="15" hidden="false" customHeight="false" outlineLevel="0" collapsed="false">
      <c r="A18" s="2" t="s">
        <v>120</v>
      </c>
      <c r="B18" s="26" t="n">
        <f aca="false">B10-B17</f>
        <v>-6880</v>
      </c>
      <c r="C18" s="26" t="n">
        <f aca="false">C10-C17</f>
        <v>-6880</v>
      </c>
      <c r="D18" s="26" t="n">
        <f aca="false">D10-D17</f>
        <v>-2380</v>
      </c>
      <c r="E18" s="26" t="n">
        <f aca="false">E10-E17</f>
        <v>-4580</v>
      </c>
      <c r="F18" s="26" t="n">
        <f aca="false">F10-F17</f>
        <v>8920</v>
      </c>
      <c r="G18" s="26" t="n">
        <f aca="false">G10-G17</f>
        <v>8920</v>
      </c>
      <c r="H18" s="26" t="n">
        <f aca="false">SUM(B18:G18)</f>
        <v>-2880</v>
      </c>
    </row>
    <row r="19" customFormat="false" ht="15" hidden="false" customHeight="false" outlineLevel="0" collapsed="false">
      <c r="A19" s="2" t="s">
        <v>143</v>
      </c>
      <c r="B19" s="26" t="n">
        <f aca="false">B18</f>
        <v>-6880</v>
      </c>
      <c r="C19" s="26" t="n">
        <f aca="false">B19+C18</f>
        <v>-13760</v>
      </c>
      <c r="D19" s="26" t="n">
        <f aca="false">C19+D18</f>
        <v>-16140</v>
      </c>
      <c r="E19" s="26" t="n">
        <f aca="false">D19+E18</f>
        <v>-20720</v>
      </c>
      <c r="F19" s="26" t="n">
        <f aca="false">E19+F18</f>
        <v>-11800</v>
      </c>
      <c r="G19" s="26" t="n">
        <f aca="false">F19+G18</f>
        <v>-2880</v>
      </c>
    </row>
    <row r="22" customFormat="false" ht="15" hidden="false" customHeight="false" outlineLevel="0" collapsed="false">
      <c r="A22" s="2" t="s">
        <v>144</v>
      </c>
      <c r="B22" s="29" t="n">
        <f aca="false">-MIN(B19:G19)</f>
        <v>20720</v>
      </c>
    </row>
    <row r="23" customFormat="false" ht="15" hidden="false" customHeight="false" outlineLevel="0" collapsed="false">
      <c r="A23" s="3" t="s">
        <v>145</v>
      </c>
      <c r="B23" s="30" t="n">
        <f aca="false">G19</f>
        <v>-2880</v>
      </c>
    </row>
    <row r="25" customFormat="false" ht="15" hidden="false" customHeight="false" outlineLevel="0" collapsed="false">
      <c r="A25" s="5" t="s">
        <v>146</v>
      </c>
    </row>
    <row r="26" customFormat="false" ht="15" hidden="false" customHeight="false" outlineLevel="0" collapsed="false">
      <c r="A26" s="5" t="s">
        <v>147</v>
      </c>
    </row>
    <row r="27" customFormat="false" ht="15" hidden="false" customHeight="false" outlineLevel="0" collapsed="false">
      <c r="A27" s="5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5" min="2" style="0" width="9"/>
  </cols>
  <sheetData>
    <row r="1" customFormat="false" ht="21.75" hidden="false" customHeight="true" outlineLevel="0" collapsed="false">
      <c r="A1" s="4" t="s">
        <v>149</v>
      </c>
    </row>
    <row r="2" customFormat="false" ht="15" hidden="false" customHeight="false" outlineLevel="0" collapsed="false">
      <c r="A2" s="5" t="s">
        <v>150</v>
      </c>
    </row>
    <row r="4" customFormat="false" ht="18" hidden="false" customHeight="true" outlineLevel="0" collapsed="false">
      <c r="A4" s="6"/>
      <c r="B4" s="7" t="s">
        <v>126</v>
      </c>
      <c r="C4" s="7" t="s">
        <v>127</v>
      </c>
      <c r="D4" s="7" t="s">
        <v>128</v>
      </c>
      <c r="E4" s="7" t="s">
        <v>129</v>
      </c>
      <c r="F4" s="7" t="s">
        <v>130</v>
      </c>
      <c r="G4" s="7" t="s">
        <v>131</v>
      </c>
      <c r="H4" s="7" t="s">
        <v>151</v>
      </c>
      <c r="I4" s="7" t="s">
        <v>152</v>
      </c>
      <c r="J4" s="7" t="s">
        <v>153</v>
      </c>
      <c r="K4" s="7" t="s">
        <v>154</v>
      </c>
      <c r="L4" s="7" t="s">
        <v>155</v>
      </c>
      <c r="M4" s="7" t="s">
        <v>156</v>
      </c>
      <c r="N4" s="7" t="s">
        <v>157</v>
      </c>
      <c r="O4" s="7" t="s">
        <v>158</v>
      </c>
      <c r="P4" s="7" t="s">
        <v>159</v>
      </c>
      <c r="Q4" s="7" t="s">
        <v>160</v>
      </c>
      <c r="R4" s="7" t="s">
        <v>161</v>
      </c>
      <c r="S4" s="7" t="s">
        <v>162</v>
      </c>
      <c r="T4" s="7" t="s">
        <v>163</v>
      </c>
      <c r="U4" s="7" t="s">
        <v>164</v>
      </c>
      <c r="V4" s="7" t="s">
        <v>165</v>
      </c>
      <c r="W4" s="7" t="s">
        <v>166</v>
      </c>
      <c r="X4" s="7" t="s">
        <v>167</v>
      </c>
      <c r="Y4" s="7" t="s">
        <v>168</v>
      </c>
    </row>
    <row r="5" customFormat="false" ht="15" hidden="false" customHeight="false" outlineLevel="0" collapsed="false">
      <c r="A5" s="3" t="s">
        <v>112</v>
      </c>
      <c r="B5" s="31" t="n">
        <f aca="false">Assumptions!$B$17</f>
        <v>250</v>
      </c>
      <c r="C5" s="31" t="n">
        <f aca="false">B5*(1+Assumptions!$B$18)</f>
        <v>337.5</v>
      </c>
      <c r="D5" s="31" t="n">
        <f aca="false">C5*(1+Assumptions!$B$18)</f>
        <v>455.625</v>
      </c>
      <c r="E5" s="31" t="n">
        <f aca="false">D5*(1+Assumptions!$B$18)</f>
        <v>615.09375</v>
      </c>
      <c r="F5" s="31" t="n">
        <f aca="false">E5*(1+Assumptions!$B$18)</f>
        <v>830.3765625</v>
      </c>
      <c r="G5" s="31" t="n">
        <f aca="false">F5*(1+Assumptions!$B$18)</f>
        <v>1121.008359375</v>
      </c>
      <c r="H5" s="31" t="n">
        <f aca="false">G5*(1+Assumptions!$B$18)</f>
        <v>1513.36128515625</v>
      </c>
      <c r="I5" s="31" t="n">
        <f aca="false">H5*(1+Assumptions!$B$18)</f>
        <v>2043.03773496094</v>
      </c>
      <c r="J5" s="31" t="n">
        <f aca="false">I5*(1+Assumptions!$B$18)</f>
        <v>2758.10094219727</v>
      </c>
      <c r="K5" s="31" t="n">
        <f aca="false">J5*(1+Assumptions!$B$18)</f>
        <v>3723.43627196631</v>
      </c>
      <c r="L5" s="31" t="n">
        <f aca="false">K5*(1+Assumptions!$B$18)</f>
        <v>5026.63896715452</v>
      </c>
      <c r="M5" s="31" t="n">
        <f aca="false">L5*(1+Assumptions!$B$18)</f>
        <v>6785.9626056586</v>
      </c>
      <c r="N5" s="31" t="n">
        <f aca="false">M5*(1+Assumptions!$B$22)</f>
        <v>7328.83961411129</v>
      </c>
      <c r="O5" s="31" t="n">
        <f aca="false">N5*(1+Assumptions!$B$22)</f>
        <v>7915.14678324019</v>
      </c>
      <c r="P5" s="31" t="n">
        <f aca="false">O5*(1+Assumptions!$B$22)</f>
        <v>8548.35852589941</v>
      </c>
      <c r="Q5" s="31" t="n">
        <f aca="false">P5*(1+Assumptions!$B$22)</f>
        <v>9232.22720797136</v>
      </c>
      <c r="R5" s="31" t="n">
        <f aca="false">Q5*(1+Assumptions!$B$22)</f>
        <v>9970.80538460907</v>
      </c>
      <c r="S5" s="31" t="n">
        <f aca="false">R5*(1+Assumptions!$B$22)</f>
        <v>10768.4698153778</v>
      </c>
      <c r="T5" s="31" t="n">
        <f aca="false">S5*(1+Assumptions!$B$22)</f>
        <v>11629.947400608</v>
      </c>
      <c r="U5" s="31" t="n">
        <f aca="false">T5*(1+Assumptions!$B$22)</f>
        <v>12560.3431926567</v>
      </c>
      <c r="V5" s="31" t="n">
        <f aca="false">U5*(1+Assumptions!$B$22)</f>
        <v>13565.1706480692</v>
      </c>
      <c r="W5" s="31" t="n">
        <f aca="false">V5*(1+Assumptions!$B$22)</f>
        <v>14650.3842999147</v>
      </c>
      <c r="X5" s="31" t="n">
        <f aca="false">W5*(1+Assumptions!$B$22)</f>
        <v>15822.4150439079</v>
      </c>
      <c r="Y5" s="31" t="n">
        <f aca="false">X5*(1+Assumptions!$B$22)</f>
        <v>17088.2082474206</v>
      </c>
    </row>
    <row r="6" customFormat="false" ht="15" hidden="false" customHeight="false" outlineLevel="0" collapsed="false">
      <c r="A6" s="3" t="s">
        <v>169</v>
      </c>
      <c r="B6" s="31" t="n">
        <f aca="false">B5*Assumptions!$B$19</f>
        <v>10</v>
      </c>
      <c r="C6" s="31" t="n">
        <f aca="false">C5*Assumptions!$B$19</f>
        <v>13.5</v>
      </c>
      <c r="D6" s="31" t="n">
        <f aca="false">D5*Assumptions!$B$19</f>
        <v>18.225</v>
      </c>
      <c r="E6" s="31" t="n">
        <f aca="false">E5*Assumptions!$B$19</f>
        <v>24.60375</v>
      </c>
      <c r="F6" s="31" t="n">
        <f aca="false">F5*Assumptions!$B$19</f>
        <v>33.2150625</v>
      </c>
      <c r="G6" s="31" t="n">
        <f aca="false">G5*Assumptions!$B$19</f>
        <v>44.840334375</v>
      </c>
      <c r="H6" s="31" t="n">
        <f aca="false">H5*Assumptions!$B$19</f>
        <v>60.53445140625</v>
      </c>
      <c r="I6" s="31" t="n">
        <f aca="false">I5*Assumptions!$B$19</f>
        <v>81.7215093984375</v>
      </c>
      <c r="J6" s="31" t="n">
        <f aca="false">J5*Assumptions!$B$19</f>
        <v>110.324037687891</v>
      </c>
      <c r="K6" s="31" t="n">
        <f aca="false">K5*Assumptions!$B$19</f>
        <v>148.937450878652</v>
      </c>
      <c r="L6" s="31" t="n">
        <f aca="false">L5*Assumptions!$B$19</f>
        <v>201.065558686181</v>
      </c>
      <c r="M6" s="31" t="n">
        <f aca="false">M5*Assumptions!$B$19</f>
        <v>271.438504226344</v>
      </c>
      <c r="N6" s="31" t="n">
        <f aca="false">N5*Assumptions!$B$19</f>
        <v>293.153584564452</v>
      </c>
      <c r="O6" s="31" t="n">
        <f aca="false">O5*Assumptions!$B$19</f>
        <v>316.605871329608</v>
      </c>
      <c r="P6" s="31" t="n">
        <f aca="false">P5*Assumptions!$B$19</f>
        <v>341.934341035976</v>
      </c>
      <c r="Q6" s="31" t="n">
        <f aca="false">Q5*Assumptions!$B$19</f>
        <v>369.289088318855</v>
      </c>
      <c r="R6" s="31" t="n">
        <f aca="false">R5*Assumptions!$B$19</f>
        <v>398.832215384363</v>
      </c>
      <c r="S6" s="31" t="n">
        <f aca="false">S5*Assumptions!$B$19</f>
        <v>430.738792615112</v>
      </c>
      <c r="T6" s="31" t="n">
        <f aca="false">T5*Assumptions!$B$19</f>
        <v>465.197896024321</v>
      </c>
      <c r="U6" s="31" t="n">
        <f aca="false">U5*Assumptions!$B$19</f>
        <v>502.413727706267</v>
      </c>
      <c r="V6" s="31" t="n">
        <f aca="false">V5*Assumptions!$B$19</f>
        <v>542.606825922768</v>
      </c>
      <c r="W6" s="31" t="n">
        <f aca="false">W5*Assumptions!$B$19</f>
        <v>586.01537199659</v>
      </c>
      <c r="X6" s="31" t="n">
        <f aca="false">X5*Assumptions!$B$19</f>
        <v>632.896601756317</v>
      </c>
      <c r="Y6" s="31" t="n">
        <f aca="false">Y5*Assumptions!$B$19</f>
        <v>683.528329896822</v>
      </c>
    </row>
    <row r="7" customFormat="false" ht="15" hidden="false" customHeight="false" outlineLevel="0" collapsed="false">
      <c r="A7" s="3" t="s">
        <v>170</v>
      </c>
      <c r="B7" s="31" t="n">
        <f aca="false">B6</f>
        <v>10</v>
      </c>
      <c r="C7" s="31" t="n">
        <f aca="false">B7*(1-Assumptions!$B$20)+C6</f>
        <v>22.9</v>
      </c>
      <c r="D7" s="31" t="n">
        <f aca="false">C7*(1-Assumptions!$B$20)+D6</f>
        <v>39.751</v>
      </c>
      <c r="E7" s="31" t="n">
        <f aca="false">D7*(1-Assumptions!$B$20)+E6</f>
        <v>61.96969</v>
      </c>
      <c r="F7" s="31" t="n">
        <f aca="false">E7*(1-Assumptions!$B$20)+F6</f>
        <v>91.4665711</v>
      </c>
      <c r="G7" s="31" t="n">
        <f aca="false">F7*(1-Assumptions!$B$20)+G6</f>
        <v>130.818911209</v>
      </c>
      <c r="H7" s="31" t="n">
        <f aca="false">G7*(1-Assumptions!$B$20)+H6</f>
        <v>183.50422794271</v>
      </c>
      <c r="I7" s="31" t="n">
        <f aca="false">H7*(1-Assumptions!$B$20)+I6</f>
        <v>254.215483664585</v>
      </c>
      <c r="J7" s="31" t="n">
        <f aca="false">I7*(1-Assumptions!$B$20)+J6</f>
        <v>349.286592332601</v>
      </c>
      <c r="K7" s="31" t="n">
        <f aca="false">J7*(1-Assumptions!$B$20)+K6</f>
        <v>477.266847671297</v>
      </c>
      <c r="L7" s="31" t="n">
        <f aca="false">K7*(1-Assumptions!$B$20)+L6</f>
        <v>649.6963954972</v>
      </c>
      <c r="M7" s="31" t="n">
        <f aca="false">L7*(1-Assumptions!$B$20)+M6</f>
        <v>882.153115993712</v>
      </c>
      <c r="N7" s="31" t="n">
        <f aca="false">M7*(1-Assumptions!$B$20)+N6</f>
        <v>1122.37751359854</v>
      </c>
      <c r="O7" s="31" t="n">
        <f aca="false">N7*(1-Assumptions!$B$20)+O6</f>
        <v>1371.64073411224</v>
      </c>
      <c r="P7" s="31" t="n">
        <f aca="false">O7*(1-Assumptions!$B$20)+P6</f>
        <v>1631.27663110148</v>
      </c>
      <c r="Q7" s="31" t="n">
        <f aca="false">P7*(1-Assumptions!$B$20)+Q6</f>
        <v>1902.68912155424</v>
      </c>
      <c r="R7" s="31" t="n">
        <f aca="false">Q7*(1-Assumptions!$B$20)+R6</f>
        <v>2187.35998964535</v>
      </c>
      <c r="S7" s="31" t="n">
        <f aca="false">R7*(1-Assumptions!$B$20)+S6</f>
        <v>2486.85718288174</v>
      </c>
      <c r="T7" s="31" t="n">
        <f aca="false">S7*(1-Assumptions!$B$20)+T6</f>
        <v>2802.84364793316</v>
      </c>
      <c r="U7" s="31" t="n">
        <f aca="false">T7*(1-Assumptions!$B$20)+U6</f>
        <v>3137.08675676344</v>
      </c>
      <c r="V7" s="31" t="n">
        <f aca="false">U7*(1-Assumptions!$B$20)+V6</f>
        <v>3491.4683772804</v>
      </c>
      <c r="W7" s="31" t="n">
        <f aca="false">V7*(1-Assumptions!$B$20)+W6</f>
        <v>3867.99564664016</v>
      </c>
      <c r="X7" s="31" t="n">
        <f aca="false">W7*(1-Assumptions!$B$20)+X6</f>
        <v>4268.81250959807</v>
      </c>
      <c r="Y7" s="31" t="n">
        <f aca="false">X7*(1-Assumptions!$B$20)+Y6</f>
        <v>4696.21208891901</v>
      </c>
    </row>
    <row r="8" customFormat="false" ht="15" hidden="false" customHeight="false" outlineLevel="0" collapsed="false">
      <c r="A8" s="3" t="s">
        <v>171</v>
      </c>
      <c r="B8" s="30" t="n">
        <f aca="false">B7*Assumptions!$B$5</f>
        <v>190</v>
      </c>
      <c r="C8" s="30" t="n">
        <f aca="false">C7*Assumptions!$B$5</f>
        <v>435.1</v>
      </c>
      <c r="D8" s="30" t="n">
        <f aca="false">D7*Assumptions!$B$5</f>
        <v>755.269</v>
      </c>
      <c r="E8" s="30" t="n">
        <f aca="false">E7*Assumptions!$B$5</f>
        <v>1177.42411</v>
      </c>
      <c r="F8" s="30" t="n">
        <f aca="false">F7*Assumptions!$B$5</f>
        <v>1737.8648509</v>
      </c>
      <c r="G8" s="30" t="n">
        <f aca="false">G7*Assumptions!$B$5</f>
        <v>2485.559312971</v>
      </c>
      <c r="H8" s="30" t="n">
        <f aca="false">H7*Assumptions!$B$5</f>
        <v>3486.58033091149</v>
      </c>
      <c r="I8" s="30" t="n">
        <f aca="false">I7*Assumptions!$B$5</f>
        <v>4830.09418962711</v>
      </c>
      <c r="J8" s="30" t="n">
        <f aca="false">J7*Assumptions!$B$5</f>
        <v>6636.44525431941</v>
      </c>
      <c r="K8" s="30" t="n">
        <f aca="false">K7*Assumptions!$B$5</f>
        <v>9068.07010575464</v>
      </c>
      <c r="L8" s="30" t="n">
        <f aca="false">L7*Assumptions!$B$5</f>
        <v>12344.2315144468</v>
      </c>
      <c r="M8" s="30" t="n">
        <f aca="false">M7*Assumptions!$B$5</f>
        <v>16760.9092038805</v>
      </c>
      <c r="N8" s="30" t="n">
        <f aca="false">N7*Assumptions!$B$5</f>
        <v>21325.1727583723</v>
      </c>
      <c r="O8" s="30" t="n">
        <f aca="false">O7*Assumptions!$B$5</f>
        <v>26061.1739481325</v>
      </c>
      <c r="P8" s="30" t="n">
        <f aca="false">P7*Assumptions!$B$5</f>
        <v>30994.2559909281</v>
      </c>
      <c r="Q8" s="30" t="n">
        <f aca="false">Q7*Assumptions!$B$5</f>
        <v>36151.0933095306</v>
      </c>
      <c r="R8" s="30" t="n">
        <f aca="false">R7*Assumptions!$B$5</f>
        <v>41559.8398032617</v>
      </c>
      <c r="S8" s="30" t="n">
        <f aca="false">S7*Assumptions!$B$5</f>
        <v>47250.2864747531</v>
      </c>
      <c r="T8" s="30" t="n">
        <f aca="false">T7*Assumptions!$B$5</f>
        <v>53254.02931073</v>
      </c>
      <c r="U8" s="30" t="n">
        <f aca="false">U7*Assumptions!$B$5</f>
        <v>59604.6483785053</v>
      </c>
      <c r="V8" s="30" t="n">
        <f aca="false">V7*Assumptions!$B$5</f>
        <v>66337.8991683276</v>
      </c>
      <c r="W8" s="30" t="n">
        <f aca="false">W7*Assumptions!$B$5</f>
        <v>73491.9172861631</v>
      </c>
      <c r="X8" s="30" t="n">
        <f aca="false">X7*Assumptions!$B$5</f>
        <v>81107.4376823634</v>
      </c>
      <c r="Y8" s="30" t="n">
        <f aca="false">Y7*Assumptions!$B$5</f>
        <v>89228.0296894612</v>
      </c>
    </row>
    <row r="10" customFormat="false" ht="15" hidden="false" customHeight="false" outlineLevel="0" collapsed="false">
      <c r="A10" s="3" t="s">
        <v>132</v>
      </c>
      <c r="B10" s="31" t="n">
        <v>0</v>
      </c>
      <c r="C10" s="31" t="n">
        <v>0</v>
      </c>
      <c r="D10" s="31" t="n">
        <v>1</v>
      </c>
      <c r="E10" s="31" t="n">
        <v>1</v>
      </c>
      <c r="F10" s="31" t="n">
        <f aca="false">Assumptions!$B$25/3</f>
        <v>0.666666666666667</v>
      </c>
      <c r="G10" s="31" t="n">
        <f aca="false">Assumptions!$B$25/3</f>
        <v>0.666666666666667</v>
      </c>
      <c r="H10" s="31" t="n">
        <f aca="false">Assumptions!$B$25/3</f>
        <v>0.666666666666667</v>
      </c>
      <c r="I10" s="31" t="n">
        <f aca="false">Assumptions!$B$25/3</f>
        <v>0.666666666666667</v>
      </c>
      <c r="J10" s="31" t="n">
        <f aca="false">Assumptions!$B$25/3</f>
        <v>0.666666666666667</v>
      </c>
      <c r="K10" s="31" t="n">
        <f aca="false">Assumptions!$B$25/3</f>
        <v>0.666666666666667</v>
      </c>
      <c r="L10" s="31" t="n">
        <f aca="false">Assumptions!$B$25/3</f>
        <v>0.666666666666667</v>
      </c>
      <c r="M10" s="31" t="n">
        <f aca="false">Assumptions!$B$25/3</f>
        <v>0.666666666666667</v>
      </c>
      <c r="N10" s="31" t="n">
        <f aca="false">Assumptions!$B$25/3</f>
        <v>0.666666666666667</v>
      </c>
      <c r="O10" s="31" t="n">
        <f aca="false">Assumptions!$B$25/3</f>
        <v>0.666666666666667</v>
      </c>
      <c r="P10" s="31" t="n">
        <f aca="false">Assumptions!$B$25/3</f>
        <v>0.666666666666667</v>
      </c>
      <c r="Q10" s="31" t="n">
        <f aca="false">Assumptions!$B$25/3</f>
        <v>0.666666666666667</v>
      </c>
      <c r="R10" s="31" t="n">
        <f aca="false">Assumptions!$B$25/3</f>
        <v>0.666666666666667</v>
      </c>
      <c r="S10" s="31" t="n">
        <f aca="false">Assumptions!$B$25/3</f>
        <v>0.666666666666667</v>
      </c>
      <c r="T10" s="31" t="n">
        <f aca="false">Assumptions!$B$25/3</f>
        <v>0.666666666666667</v>
      </c>
      <c r="U10" s="31" t="n">
        <f aca="false">Assumptions!$B$25/3</f>
        <v>0.666666666666667</v>
      </c>
      <c r="V10" s="31" t="n">
        <f aca="false">Assumptions!$B$25/3</f>
        <v>0.666666666666667</v>
      </c>
      <c r="W10" s="31" t="n">
        <f aca="false">Assumptions!$B$25/3</f>
        <v>0.666666666666667</v>
      </c>
      <c r="X10" s="31" t="n">
        <f aca="false">Assumptions!$B$25/3</f>
        <v>0.666666666666667</v>
      </c>
      <c r="Y10" s="31" t="n">
        <f aca="false">Assumptions!$B$25/3</f>
        <v>0.666666666666667</v>
      </c>
    </row>
    <row r="11" customFormat="false" ht="15" hidden="false" customHeight="false" outlineLevel="0" collapsed="false">
      <c r="A11" s="3" t="s">
        <v>172</v>
      </c>
      <c r="B11" s="31" t="n">
        <v>0</v>
      </c>
      <c r="C11" s="31" t="n">
        <v>0</v>
      </c>
      <c r="D11" s="31" t="n">
        <v>0</v>
      </c>
      <c r="E11" s="31" t="n">
        <v>0</v>
      </c>
      <c r="F11" s="31" t="n">
        <f aca="false">E11+D10*Assumptions!$B$26</f>
        <v>0.4</v>
      </c>
      <c r="G11" s="31" t="n">
        <f aca="false">F11+E10*Assumptions!$B$26</f>
        <v>0.8</v>
      </c>
      <c r="H11" s="31" t="n">
        <f aca="false">G11+F10*Assumptions!$B$26</f>
        <v>1.06666666666667</v>
      </c>
      <c r="I11" s="31" t="n">
        <f aca="false">H11+G10*Assumptions!$B$26</f>
        <v>1.33333333333333</v>
      </c>
      <c r="J11" s="31" t="n">
        <f aca="false">I11+H10*Assumptions!$B$26</f>
        <v>1.6</v>
      </c>
      <c r="K11" s="31" t="n">
        <f aca="false">J11+I10*Assumptions!$B$26</f>
        <v>1.86666666666667</v>
      </c>
      <c r="L11" s="31" t="n">
        <f aca="false">K11+J10*Assumptions!$B$26</f>
        <v>2.13333333333333</v>
      </c>
      <c r="M11" s="31" t="n">
        <f aca="false">L11+K10*Assumptions!$B$26</f>
        <v>2.4</v>
      </c>
      <c r="N11" s="31" t="n">
        <f aca="false">M11+L10*Assumptions!$B$26</f>
        <v>2.66666666666667</v>
      </c>
      <c r="O11" s="31" t="n">
        <f aca="false">N11+M10*Assumptions!$B$26</f>
        <v>2.93333333333333</v>
      </c>
      <c r="P11" s="31" t="n">
        <f aca="false">O11+N10*Assumptions!$B$26</f>
        <v>3.2</v>
      </c>
      <c r="Q11" s="31" t="n">
        <f aca="false">P11+O10*Assumptions!$B$26</f>
        <v>3.46666666666667</v>
      </c>
      <c r="R11" s="31" t="n">
        <f aca="false">Q11+P10*Assumptions!$B$26</f>
        <v>3.73333333333333</v>
      </c>
      <c r="S11" s="31" t="n">
        <f aca="false">R11+Q10*Assumptions!$B$26</f>
        <v>4</v>
      </c>
      <c r="T11" s="31" t="n">
        <f aca="false">S11+R10*Assumptions!$B$26</f>
        <v>4.26666666666667</v>
      </c>
      <c r="U11" s="31" t="n">
        <f aca="false">T11+S10*Assumptions!$B$26</f>
        <v>4.53333333333333</v>
      </c>
      <c r="V11" s="31" t="n">
        <f aca="false">U11+T10*Assumptions!$B$26</f>
        <v>4.8</v>
      </c>
      <c r="W11" s="31" t="n">
        <f aca="false">V11+U10*Assumptions!$B$26</f>
        <v>5.06666666666667</v>
      </c>
      <c r="X11" s="31" t="n">
        <f aca="false">W11+V10*Assumptions!$B$26</f>
        <v>5.33333333333333</v>
      </c>
      <c r="Y11" s="31" t="n">
        <f aca="false">X11+W10*Assumptions!$B$26</f>
        <v>5.6</v>
      </c>
    </row>
    <row r="12" customFormat="false" ht="15" hidden="false" customHeight="false" outlineLevel="0" collapsed="false">
      <c r="A12" s="3" t="s">
        <v>173</v>
      </c>
      <c r="B12" s="30" t="n">
        <f aca="false">B10*Assumptions!$B$9+B11*Assumptions!$B$12/12</f>
        <v>0</v>
      </c>
      <c r="C12" s="30" t="n">
        <f aca="false">C10*Assumptions!$B$9+C11*Assumptions!$B$12/12</f>
        <v>0</v>
      </c>
      <c r="D12" s="30" t="n">
        <f aca="false">D10*Assumptions!$B$9+D11*Assumptions!$B$12/12</f>
        <v>4500</v>
      </c>
      <c r="E12" s="30" t="n">
        <f aca="false">E10*Assumptions!$B$9+E11*Assumptions!$B$12/12</f>
        <v>4500</v>
      </c>
      <c r="F12" s="30" t="n">
        <f aca="false">F10*Assumptions!$B$9+F11*Assumptions!$B$12/12</f>
        <v>3300</v>
      </c>
      <c r="G12" s="30" t="n">
        <f aca="false">G10*Assumptions!$B$9+G11*Assumptions!$B$12/12</f>
        <v>3600</v>
      </c>
      <c r="H12" s="30" t="n">
        <f aca="false">H10*Assumptions!$B$9+H11*Assumptions!$B$12/12</f>
        <v>3800</v>
      </c>
      <c r="I12" s="30" t="n">
        <f aca="false">I10*Assumptions!$B$9+I11*Assumptions!$B$12/12</f>
        <v>4000</v>
      </c>
      <c r="J12" s="30" t="n">
        <f aca="false">J10*Assumptions!$B$9+J11*Assumptions!$B$12/12</f>
        <v>4200</v>
      </c>
      <c r="K12" s="30" t="n">
        <f aca="false">K10*Assumptions!$B$9+K11*Assumptions!$B$12/12</f>
        <v>4400</v>
      </c>
      <c r="L12" s="30" t="n">
        <f aca="false">L10*Assumptions!$B$9+L11*Assumptions!$B$12/12</f>
        <v>4600</v>
      </c>
      <c r="M12" s="30" t="n">
        <f aca="false">M10*Assumptions!$B$9+M11*Assumptions!$B$12/12</f>
        <v>4800</v>
      </c>
      <c r="N12" s="30" t="n">
        <f aca="false">N10*Assumptions!$B$9+N11*Assumptions!$B$12/12</f>
        <v>5000</v>
      </c>
      <c r="O12" s="30" t="n">
        <f aca="false">O10*Assumptions!$B$9+O11*Assumptions!$B$12/12</f>
        <v>5200</v>
      </c>
      <c r="P12" s="30" t="n">
        <f aca="false">P10*Assumptions!$B$9+P11*Assumptions!$B$12/12</f>
        <v>5400</v>
      </c>
      <c r="Q12" s="30" t="n">
        <f aca="false">Q10*Assumptions!$B$9+Q11*Assumptions!$B$12/12</f>
        <v>5600</v>
      </c>
      <c r="R12" s="30" t="n">
        <f aca="false">R10*Assumptions!$B$9+R11*Assumptions!$B$12/12</f>
        <v>5800</v>
      </c>
      <c r="S12" s="30" t="n">
        <f aca="false">S10*Assumptions!$B$9+S11*Assumptions!$B$12/12</f>
        <v>6000</v>
      </c>
      <c r="T12" s="30" t="n">
        <f aca="false">T10*Assumptions!$B$9+T11*Assumptions!$B$12/12</f>
        <v>6200</v>
      </c>
      <c r="U12" s="30" t="n">
        <f aca="false">U10*Assumptions!$B$9+U11*Assumptions!$B$12/12</f>
        <v>6400</v>
      </c>
      <c r="V12" s="30" t="n">
        <f aca="false">V10*Assumptions!$B$9+V11*Assumptions!$B$12/12</f>
        <v>6600</v>
      </c>
      <c r="W12" s="30" t="n">
        <f aca="false">W10*Assumptions!$B$9+W11*Assumptions!$B$12/12</f>
        <v>6800</v>
      </c>
      <c r="X12" s="30" t="n">
        <f aca="false">X10*Assumptions!$B$9+X11*Assumptions!$B$12/12</f>
        <v>7000</v>
      </c>
      <c r="Y12" s="30" t="n">
        <f aca="false">Y10*Assumptions!$B$9+Y11*Assumptions!$B$12/12</f>
        <v>7200</v>
      </c>
    </row>
    <row r="14" customFormat="false" ht="15" hidden="false" customHeight="false" outlineLevel="0" collapsed="false">
      <c r="A14" s="2" t="s">
        <v>118</v>
      </c>
      <c r="B14" s="32" t="n">
        <f aca="false">B8+B12</f>
        <v>190</v>
      </c>
      <c r="C14" s="32" t="n">
        <f aca="false">C8+C12</f>
        <v>435.1</v>
      </c>
      <c r="D14" s="32" t="n">
        <f aca="false">D8+D12</f>
        <v>5255.269</v>
      </c>
      <c r="E14" s="32" t="n">
        <f aca="false">E8+E12</f>
        <v>5677.42411</v>
      </c>
      <c r="F14" s="32" t="n">
        <f aca="false">F8+F12</f>
        <v>5037.8648509</v>
      </c>
      <c r="G14" s="32" t="n">
        <f aca="false">G8+G12</f>
        <v>6085.559312971</v>
      </c>
      <c r="H14" s="32" t="n">
        <f aca="false">H8+H12</f>
        <v>7286.58033091149</v>
      </c>
      <c r="I14" s="32" t="n">
        <f aca="false">I8+I12</f>
        <v>8830.09418962711</v>
      </c>
      <c r="J14" s="32" t="n">
        <f aca="false">J8+J12</f>
        <v>10836.4452543194</v>
      </c>
      <c r="K14" s="32" t="n">
        <f aca="false">K8+K12</f>
        <v>13468.0701057546</v>
      </c>
      <c r="L14" s="32" t="n">
        <f aca="false">L8+L12</f>
        <v>16944.2315144468</v>
      </c>
      <c r="M14" s="32" t="n">
        <f aca="false">M8+M12</f>
        <v>21560.9092038805</v>
      </c>
      <c r="N14" s="32" t="n">
        <f aca="false">N8+N12</f>
        <v>26325.1727583723</v>
      </c>
      <c r="O14" s="32" t="n">
        <f aca="false">O8+O12</f>
        <v>31261.1739481325</v>
      </c>
      <c r="P14" s="32" t="n">
        <f aca="false">P8+P12</f>
        <v>36394.2559909281</v>
      </c>
      <c r="Q14" s="32" t="n">
        <f aca="false">Q8+Q12</f>
        <v>41751.0933095306</v>
      </c>
      <c r="R14" s="32" t="n">
        <f aca="false">R8+R12</f>
        <v>47359.8398032617</v>
      </c>
      <c r="S14" s="32" t="n">
        <f aca="false">S8+S12</f>
        <v>53250.2864747531</v>
      </c>
      <c r="T14" s="32" t="n">
        <f aca="false">T8+T12</f>
        <v>59454.02931073</v>
      </c>
      <c r="U14" s="32" t="n">
        <f aca="false">U8+U12</f>
        <v>66004.6483785053</v>
      </c>
      <c r="V14" s="32" t="n">
        <f aca="false">V8+V12</f>
        <v>72937.8991683276</v>
      </c>
      <c r="W14" s="32" t="n">
        <f aca="false">W8+W12</f>
        <v>80291.9172861631</v>
      </c>
      <c r="X14" s="32" t="n">
        <f aca="false">X8+X12</f>
        <v>88107.4376823634</v>
      </c>
      <c r="Y14" s="32" t="n">
        <f aca="false">Y8+Y12</f>
        <v>96428.0296894612</v>
      </c>
    </row>
    <row r="15" customFormat="false" ht="15" hidden="false" customHeight="false" outlineLevel="0" collapsed="false">
      <c r="A15" s="3" t="s">
        <v>142</v>
      </c>
      <c r="B15" s="30" t="n">
        <f aca="false">(Assumptions!$B$31+Assumptions!$B$32+Assumptions!$B$33+Assumptions!$B$35+Assumptions!$B$36+Assumptions!$B$43)+Assumptions!$B$42+0+0+B14*Assumptions!$B$34</f>
        <v>6239.5</v>
      </c>
      <c r="C15" s="30" t="n">
        <f aca="false">(Assumptions!$B$31+Assumptions!$B$32+Assumptions!$B$33+Assumptions!$B$35+Assumptions!$B$36+Assumptions!$B$43)+Assumptions!$B$42+0+Assumptions!$B$40+C14*Assumptions!$B$34</f>
        <v>6651.755</v>
      </c>
      <c r="D15" s="30" t="n">
        <f aca="false">(Assumptions!$B$31+Assumptions!$B$32+Assumptions!$B$33+Assumptions!$B$35+Assumptions!$B$36+Assumptions!$B$43)+Assumptions!$B$42+0+Assumptions!$B$40+D14*Assumptions!$B$34</f>
        <v>6892.76345</v>
      </c>
      <c r="E15" s="30" t="n">
        <f aca="false">(Assumptions!$B$31+Assumptions!$B$32+Assumptions!$B$33+Assumptions!$B$35+Assumptions!$B$36+Assumptions!$B$43)+Assumptions!$B$42+Assumptions!$B$41+Assumptions!$B$40+E14*Assumptions!$B$34</f>
        <v>9113.8712055</v>
      </c>
      <c r="F15" s="30" t="n">
        <f aca="false">(Assumptions!$B$31+Assumptions!$B$32+Assumptions!$B$33+Assumptions!$B$35+Assumptions!$B$36+Assumptions!$B$43)+Assumptions!$B$42+Assumptions!$B$41+Assumptions!$B$40+F14*Assumptions!$B$34</f>
        <v>9081.893242545</v>
      </c>
      <c r="G15" s="30" t="n">
        <f aca="false">(Assumptions!$B$31+Assumptions!$B$32+Assumptions!$B$33+Assumptions!$B$35+Assumptions!$B$36+Assumptions!$B$43)+Assumptions!$B$42+Assumptions!$B$41+Assumptions!$B$40+G14*Assumptions!$B$34</f>
        <v>9134.27796564855</v>
      </c>
      <c r="H15" s="30" t="n">
        <f aca="false">(Assumptions!$B$31+Assumptions!$B$32+Assumptions!$B$33+Assumptions!$B$35+Assumptions!$B$36+Assumptions!$B$43)+0+Assumptions!$B$41+Assumptions!$B$40+H14*Assumptions!$B$34</f>
        <v>4694.32901654558</v>
      </c>
      <c r="I15" s="30" t="n">
        <f aca="false">(Assumptions!$B$31+Assumptions!$B$32+Assumptions!$B$33+Assumptions!$B$35+Assumptions!$B$36+Assumptions!$B$43)+0+Assumptions!$B$41+Assumptions!$B$40+I14*Assumptions!$B$34</f>
        <v>4771.50470948136</v>
      </c>
      <c r="J15" s="30" t="n">
        <f aca="false">(Assumptions!$B$31+Assumptions!$B$32+Assumptions!$B$33+Assumptions!$B$35+Assumptions!$B$36+Assumptions!$B$43)+0+Assumptions!$B$41+Assumptions!$B$40+J14*Assumptions!$B$34</f>
        <v>4871.82226271597</v>
      </c>
      <c r="K15" s="30" t="n">
        <f aca="false">(Assumptions!$B$31+Assumptions!$B$32+Assumptions!$B$33+Assumptions!$B$35+Assumptions!$B$36+Assumptions!$B$43)+0+Assumptions!$B$41+Assumptions!$B$40+K14*Assumptions!$B$34</f>
        <v>5003.40350528773</v>
      </c>
      <c r="L15" s="30" t="n">
        <f aca="false">(Assumptions!$B$31+Assumptions!$B$32+Assumptions!$B$33+Assumptions!$B$35+Assumptions!$B$36+Assumptions!$B$43)+0+Assumptions!$B$41+Assumptions!$B$40+L14*Assumptions!$B$34</f>
        <v>5177.21157572234</v>
      </c>
      <c r="M15" s="30" t="n">
        <f aca="false">(Assumptions!$B$31+Assumptions!$B$32+Assumptions!$B$33+Assumptions!$B$35+Assumptions!$B$36+Assumptions!$B$43)+0+Assumptions!$B$41+Assumptions!$B$40+M14*Assumptions!$B$34</f>
        <v>5408.04546019403</v>
      </c>
      <c r="N15" s="30" t="n">
        <f aca="false">(Assumptions!$B$31+Assumptions!$B$32+Assumptions!$B$33+Assumptions!$B$35+Assumptions!$B$36+Assumptions!$B$43)+0+Assumptions!$B$41+Assumptions!$B$40+N14*Assumptions!$B$34</f>
        <v>5646.25863791861</v>
      </c>
      <c r="O15" s="30" t="n">
        <f aca="false">(Assumptions!$B$31+Assumptions!$B$32+Assumptions!$B$33+Assumptions!$B$35+Assumptions!$B$36+Assumptions!$B$43)+0+Assumptions!$B$41+Assumptions!$B$40+O14*Assumptions!$B$34</f>
        <v>5893.05869740663</v>
      </c>
      <c r="P15" s="30" t="n">
        <f aca="false">(Assumptions!$B$31+Assumptions!$B$32+Assumptions!$B$33+Assumptions!$B$35+Assumptions!$B$36+Assumptions!$B$43)+0+Assumptions!$B$41+Assumptions!$B$40+P14*Assumptions!$B$34</f>
        <v>6149.7127995464</v>
      </c>
      <c r="Q15" s="30" t="n">
        <f aca="false">(Assumptions!$B$31+Assumptions!$B$32+Assumptions!$B$33+Assumptions!$B$35+Assumptions!$B$36+Assumptions!$B$43)+0+Assumptions!$B$41+Assumptions!$B$40+Q14*Assumptions!$B$34</f>
        <v>6417.55466547653</v>
      </c>
      <c r="R15" s="30" t="n">
        <f aca="false">(Assumptions!$B$31+Assumptions!$B$32+Assumptions!$B$33+Assumptions!$B$35+Assumptions!$B$36+Assumptions!$B$43)+0+Assumptions!$B$41+Assumptions!$B$40+R14*Assumptions!$B$34</f>
        <v>6697.99199016309</v>
      </c>
      <c r="S15" s="30" t="n">
        <f aca="false">(Assumptions!$B$31+Assumptions!$B$32+Assumptions!$B$33+Assumptions!$B$35+Assumptions!$B$36+Assumptions!$B$43)+0+Assumptions!$B$41+Assumptions!$B$40+S14*Assumptions!$B$34</f>
        <v>6992.51432373766</v>
      </c>
      <c r="T15" s="30" t="n">
        <f aca="false">(Assumptions!$B$31+Assumptions!$B$32+Assumptions!$B$33+Assumptions!$B$35+Assumptions!$B$36+Assumptions!$B$43)+0+Assumptions!$B$41+Assumptions!$B$40+T14*Assumptions!$B$34</f>
        <v>7302.7014655365</v>
      </c>
      <c r="U15" s="30" t="n">
        <f aca="false">(Assumptions!$B$31+Assumptions!$B$32+Assumptions!$B$33+Assumptions!$B$35+Assumptions!$B$36+Assumptions!$B$43)+0+Assumptions!$B$41+Assumptions!$B$40+U14*Assumptions!$B$34</f>
        <v>7630.23241892527</v>
      </c>
      <c r="V15" s="30" t="n">
        <f aca="false">(Assumptions!$B$31+Assumptions!$B$32+Assumptions!$B$33+Assumptions!$B$35+Assumptions!$B$36+Assumptions!$B$43)+0+Assumptions!$B$41+Assumptions!$B$40+V14*Assumptions!$B$34</f>
        <v>7976.89495841638</v>
      </c>
      <c r="W15" s="30" t="n">
        <f aca="false">(Assumptions!$B$31+Assumptions!$B$32+Assumptions!$B$33+Assumptions!$B$35+Assumptions!$B$36+Assumptions!$B$43)+0+Assumptions!$B$41+Assumptions!$B$40+W14*Assumptions!$B$34</f>
        <v>8344.59586430816</v>
      </c>
      <c r="X15" s="30" t="n">
        <f aca="false">(Assumptions!$B$31+Assumptions!$B$32+Assumptions!$B$33+Assumptions!$B$35+Assumptions!$B$36+Assumptions!$B$43)+0+Assumptions!$B$41+Assumptions!$B$40+X14*Assumptions!$B$34</f>
        <v>8735.37188411817</v>
      </c>
      <c r="Y15" s="30" t="n">
        <f aca="false">(Assumptions!$B$31+Assumptions!$B$32+Assumptions!$B$33+Assumptions!$B$35+Assumptions!$B$36+Assumptions!$B$43)+0+Assumptions!$B$41+Assumptions!$B$40+Y14*Assumptions!$B$34</f>
        <v>9151.40148447306</v>
      </c>
    </row>
    <row r="16" customFormat="false" ht="15" hidden="false" customHeight="false" outlineLevel="0" collapsed="false">
      <c r="A16" s="2" t="s">
        <v>120</v>
      </c>
      <c r="B16" s="32" t="n">
        <f aca="false">B14-B15</f>
        <v>-6049.5</v>
      </c>
      <c r="C16" s="32" t="n">
        <f aca="false">C14-C15</f>
        <v>-6216.655</v>
      </c>
      <c r="D16" s="32" t="n">
        <f aca="false">D14-D15</f>
        <v>-1637.49445</v>
      </c>
      <c r="E16" s="32" t="n">
        <f aca="false">E14-E15</f>
        <v>-3436.4470955</v>
      </c>
      <c r="F16" s="32" t="n">
        <f aca="false">F14-F15</f>
        <v>-4044.028391645</v>
      </c>
      <c r="G16" s="32" t="n">
        <f aca="false">G14-G15</f>
        <v>-3048.71865267755</v>
      </c>
      <c r="H16" s="32" t="n">
        <f aca="false">H14-H15</f>
        <v>2592.25131436592</v>
      </c>
      <c r="I16" s="32" t="n">
        <f aca="false">I14-I15</f>
        <v>4058.58948014576</v>
      </c>
      <c r="J16" s="32" t="n">
        <f aca="false">J14-J15</f>
        <v>5964.62299160344</v>
      </c>
      <c r="K16" s="32" t="n">
        <f aca="false">K14-K15</f>
        <v>8464.66660046691</v>
      </c>
      <c r="L16" s="32" t="n">
        <f aca="false">L14-L15</f>
        <v>11767.0199387245</v>
      </c>
      <c r="M16" s="32" t="n">
        <f aca="false">M14-M15</f>
        <v>16152.8637436865</v>
      </c>
      <c r="N16" s="32" t="n">
        <f aca="false">N14-N15</f>
        <v>20678.9141204537</v>
      </c>
      <c r="O16" s="32" t="n">
        <f aca="false">O14-O15</f>
        <v>25368.1152507259</v>
      </c>
      <c r="P16" s="32" t="n">
        <f aca="false">P14-P15</f>
        <v>30244.5431913817</v>
      </c>
      <c r="Q16" s="32" t="n">
        <f aca="false">Q14-Q15</f>
        <v>35333.5386440541</v>
      </c>
      <c r="R16" s="32" t="n">
        <f aca="false">R14-R15</f>
        <v>40661.8478130986</v>
      </c>
      <c r="S16" s="32" t="n">
        <f aca="false">S14-S15</f>
        <v>46257.7721510155</v>
      </c>
      <c r="T16" s="32" t="n">
        <f aca="false">T14-T15</f>
        <v>52151.3278451935</v>
      </c>
      <c r="U16" s="32" t="n">
        <f aca="false">U14-U15</f>
        <v>58374.41595958</v>
      </c>
      <c r="V16" s="32" t="n">
        <f aca="false">V14-V15</f>
        <v>64961.0042099112</v>
      </c>
      <c r="W16" s="32" t="n">
        <f aca="false">W14-W15</f>
        <v>71947.321421855</v>
      </c>
      <c r="X16" s="32" t="n">
        <f aca="false">X14-X15</f>
        <v>79372.0657982452</v>
      </c>
      <c r="Y16" s="32" t="n">
        <f aca="false">Y14-Y15</f>
        <v>87276.6282049881</v>
      </c>
    </row>
    <row r="17" customFormat="false" ht="15" hidden="false" customHeight="false" outlineLevel="0" collapsed="false">
      <c r="A17" s="2" t="s">
        <v>174</v>
      </c>
      <c r="B17" s="32" t="n">
        <f aca="false">B16</f>
        <v>-6049.5</v>
      </c>
      <c r="C17" s="32" t="n">
        <f aca="false">B17+C16</f>
        <v>-12266.155</v>
      </c>
      <c r="D17" s="32" t="n">
        <f aca="false">C17+D16</f>
        <v>-13903.64945</v>
      </c>
      <c r="E17" s="32" t="n">
        <f aca="false">D17+E16</f>
        <v>-17340.0965455</v>
      </c>
      <c r="F17" s="32" t="n">
        <f aca="false">E17+F16</f>
        <v>-21384.124937145</v>
      </c>
      <c r="G17" s="32" t="n">
        <f aca="false">F17+G16</f>
        <v>-24432.8435898225</v>
      </c>
      <c r="H17" s="32" t="n">
        <f aca="false">G17+H16</f>
        <v>-21840.5922754566</v>
      </c>
      <c r="I17" s="32" t="n">
        <f aca="false">H17+I16</f>
        <v>-17782.0027953109</v>
      </c>
      <c r="J17" s="32" t="n">
        <f aca="false">I17+J16</f>
        <v>-11817.3798037074</v>
      </c>
      <c r="K17" s="32" t="n">
        <f aca="false">J17+K16</f>
        <v>-3352.71320324052</v>
      </c>
      <c r="L17" s="32" t="n">
        <f aca="false">K17+L16</f>
        <v>8414.30673548393</v>
      </c>
      <c r="M17" s="32" t="n">
        <f aca="false">L17+M16</f>
        <v>24567.1704791704</v>
      </c>
      <c r="N17" s="32" t="n">
        <f aca="false">M17+N16</f>
        <v>45246.0845996241</v>
      </c>
      <c r="O17" s="32" t="n">
        <f aca="false">N17+O16</f>
        <v>70614.1998503499</v>
      </c>
      <c r="P17" s="32" t="n">
        <f aca="false">O17+P16</f>
        <v>100858.743041732</v>
      </c>
      <c r="Q17" s="32" t="n">
        <f aca="false">P17+Q16</f>
        <v>136192.281685786</v>
      </c>
      <c r="R17" s="32" t="n">
        <f aca="false">Q17+R16</f>
        <v>176854.129498884</v>
      </c>
      <c r="S17" s="32" t="n">
        <f aca="false">R17+S16</f>
        <v>223111.9016499</v>
      </c>
      <c r="T17" s="32" t="n">
        <f aca="false">S17+T16</f>
        <v>275263.229495093</v>
      </c>
      <c r="U17" s="32" t="n">
        <f aca="false">T17+U16</f>
        <v>333637.645454673</v>
      </c>
      <c r="V17" s="32" t="n">
        <f aca="false">U17+V16</f>
        <v>398598.649664585</v>
      </c>
      <c r="W17" s="32" t="n">
        <f aca="false">V17+W16</f>
        <v>470545.97108644</v>
      </c>
      <c r="X17" s="32" t="n">
        <f aca="false">W17+X16</f>
        <v>549918.036884685</v>
      </c>
      <c r="Y17" s="32" t="n">
        <f aca="false">X17+Y16</f>
        <v>637194.665089673</v>
      </c>
    </row>
    <row r="20" customFormat="false" ht="15" hidden="false" customHeight="false" outlineLevel="0" collapsed="false">
      <c r="A20" s="2" t="s">
        <v>175</v>
      </c>
      <c r="B20" s="29" t="n">
        <f aca="false">-MIN(B17:Y17)</f>
        <v>24432.8435898225</v>
      </c>
    </row>
    <row r="21" customFormat="false" ht="15" hidden="false" customHeight="false" outlineLevel="0" collapsed="false">
      <c r="A21" s="3" t="s">
        <v>176</v>
      </c>
      <c r="B21" s="31" t="n">
        <f aca="false">MATCH(MIN(B17:Y17),B17:Y17,0)</f>
        <v>6</v>
      </c>
    </row>
    <row r="23" customFormat="false" ht="15" hidden="false" customHeight="false" outlineLevel="0" collapsed="false">
      <c r="A23" s="5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6"/>
    <col collapsed="false" customWidth="true" hidden="false" outlineLevel="0" max="5" min="3" style="0" width="16"/>
  </cols>
  <sheetData>
    <row r="1" customFormat="false" ht="21.75" hidden="false" customHeight="true" outlineLevel="0" collapsed="false">
      <c r="A1" s="4" t="s">
        <v>178</v>
      </c>
    </row>
    <row r="2" customFormat="false" ht="15" hidden="false" customHeight="false" outlineLevel="0" collapsed="false">
      <c r="A2" s="5" t="s">
        <v>179</v>
      </c>
    </row>
    <row r="4" customFormat="false" ht="18" hidden="false" customHeight="true" outlineLevel="0" collapsed="false">
      <c r="A4" s="6" t="s">
        <v>180</v>
      </c>
      <c r="B4" s="7" t="s">
        <v>181</v>
      </c>
      <c r="C4" s="7" t="s">
        <v>182</v>
      </c>
      <c r="D4" s="7" t="s">
        <v>183</v>
      </c>
      <c r="E4" s="7" t="s">
        <v>184</v>
      </c>
    </row>
    <row r="5" customFormat="false" ht="15" hidden="false" customHeight="false" outlineLevel="0" collapsed="false">
      <c r="A5" s="33" t="s">
        <v>185</v>
      </c>
      <c r="B5" s="8" t="s">
        <v>186</v>
      </c>
      <c r="C5" s="8" t="s">
        <v>187</v>
      </c>
      <c r="D5" s="34" t="n">
        <f aca="false">Assumptions!$B$43</f>
        <v>0</v>
      </c>
      <c r="E5" s="35" t="s">
        <v>188</v>
      </c>
    </row>
    <row r="6" customFormat="false" ht="15" hidden="false" customHeight="false" outlineLevel="0" collapsed="false">
      <c r="A6" s="33" t="s">
        <v>189</v>
      </c>
      <c r="B6" s="8" t="s">
        <v>190</v>
      </c>
      <c r="C6" s="8" t="s">
        <v>108</v>
      </c>
      <c r="D6" s="34" t="n">
        <f aca="false">Assumptions!$B$40</f>
        <v>400</v>
      </c>
      <c r="E6" s="35" t="s">
        <v>191</v>
      </c>
    </row>
    <row r="7" customFormat="false" ht="15" hidden="false" customHeight="false" outlineLevel="0" collapsed="false">
      <c r="A7" s="33" t="s">
        <v>192</v>
      </c>
      <c r="B7" s="8" t="s">
        <v>193</v>
      </c>
      <c r="C7" s="8" t="s">
        <v>108</v>
      </c>
      <c r="D7" s="34" t="n">
        <f aca="false">Assumptions!$B$42</f>
        <v>4500</v>
      </c>
      <c r="E7" s="35" t="s">
        <v>194</v>
      </c>
    </row>
    <row r="8" customFormat="false" ht="15" hidden="false" customHeight="false" outlineLevel="0" collapsed="false">
      <c r="A8" s="33" t="s">
        <v>195</v>
      </c>
      <c r="B8" s="8" t="s">
        <v>196</v>
      </c>
      <c r="C8" s="8" t="s">
        <v>197</v>
      </c>
      <c r="D8" s="34" t="n">
        <f aca="false">Assumptions!$B$41</f>
        <v>2200</v>
      </c>
      <c r="E8" s="35" t="s">
        <v>198</v>
      </c>
    </row>
    <row r="9" customFormat="false" ht="15" hidden="false" customHeight="false" outlineLevel="0" collapsed="false">
      <c r="A9" s="33" t="s">
        <v>199</v>
      </c>
      <c r="B9" s="8" t="s">
        <v>200</v>
      </c>
      <c r="C9" s="8" t="s">
        <v>201</v>
      </c>
      <c r="D9" s="34" t="n">
        <f aca="false">Assumptions!$B$41</f>
        <v>2200</v>
      </c>
      <c r="E9" s="35" t="s">
        <v>202</v>
      </c>
    </row>
    <row r="10" customFormat="false" ht="15" hidden="false" customHeight="false" outlineLevel="0" collapsed="false">
      <c r="A10" s="33" t="s">
        <v>203</v>
      </c>
      <c r="B10" s="8" t="s">
        <v>204</v>
      </c>
      <c r="C10" s="8" t="s">
        <v>110</v>
      </c>
      <c r="D10" s="20" t="s">
        <v>205</v>
      </c>
      <c r="E10" s="35" t="s">
        <v>206</v>
      </c>
    </row>
    <row r="11" customFormat="false" ht="15" hidden="false" customHeight="false" outlineLevel="0" collapsed="false">
      <c r="A11" s="33" t="s">
        <v>207</v>
      </c>
      <c r="B11" s="8" t="s">
        <v>208</v>
      </c>
      <c r="C11" s="8" t="s">
        <v>109</v>
      </c>
      <c r="D11" s="20" t="s">
        <v>209</v>
      </c>
      <c r="E11" s="35" t="s">
        <v>210</v>
      </c>
    </row>
    <row r="12" customFormat="false" ht="15" hidden="false" customHeight="false" outlineLevel="0" collapsed="false">
      <c r="A12" s="12" t="s">
        <v>211</v>
      </c>
      <c r="B12" s="14"/>
      <c r="C12" s="14"/>
      <c r="D12" s="36" t="n">
        <f aca="false">SUM(D5:D11)</f>
        <v>9300</v>
      </c>
      <c r="E12" s="14"/>
    </row>
    <row r="14" customFormat="false" ht="15" hidden="false" customHeight="false" outlineLevel="0" collapsed="false">
      <c r="A14" s="5" t="s">
        <v>212</v>
      </c>
    </row>
    <row r="15" customFormat="false" ht="15" hidden="false" customHeight="false" outlineLevel="0" collapsed="false">
      <c r="A15" s="5" t="s">
        <v>213</v>
      </c>
    </row>
    <row r="16" customFormat="false" ht="15" hidden="false" customHeight="false" outlineLevel="0" collapsed="false">
      <c r="A16" s="5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2"/>
    <col collapsed="false" customWidth="true" hidden="false" outlineLevel="0" max="4" min="3" style="0" width="16"/>
  </cols>
  <sheetData>
    <row r="1" customFormat="false" ht="21.75" hidden="false" customHeight="true" outlineLevel="0" collapsed="false">
      <c r="A1" s="4" t="s">
        <v>215</v>
      </c>
    </row>
    <row r="2" customFormat="false" ht="15" hidden="false" customHeight="false" outlineLevel="0" collapsed="false">
      <c r="A2" s="5" t="s">
        <v>216</v>
      </c>
    </row>
    <row r="4" customFormat="false" ht="18" hidden="false" customHeight="true" outlineLevel="0" collapsed="false">
      <c r="A4" s="6" t="s">
        <v>217</v>
      </c>
      <c r="B4" s="7" t="s">
        <v>218</v>
      </c>
      <c r="C4" s="7" t="s">
        <v>219</v>
      </c>
      <c r="D4" s="7" t="s">
        <v>220</v>
      </c>
    </row>
    <row r="5" customFormat="false" ht="15" hidden="false" customHeight="false" outlineLevel="0" collapsed="false">
      <c r="A5" s="33" t="s">
        <v>221</v>
      </c>
      <c r="B5" s="8" t="s">
        <v>222</v>
      </c>
      <c r="C5" s="8" t="s">
        <v>223</v>
      </c>
      <c r="D5" s="25" t="n">
        <f aca="false">Assumptions!$B$40*12</f>
        <v>4800</v>
      </c>
    </row>
    <row r="6" customFormat="false" ht="15" hidden="false" customHeight="false" outlineLevel="0" collapsed="false">
      <c r="A6" s="33" t="s">
        <v>224</v>
      </c>
      <c r="B6" s="8" t="s">
        <v>225</v>
      </c>
      <c r="C6" s="8" t="s">
        <v>226</v>
      </c>
      <c r="D6" s="25" t="n">
        <f aca="false">Assumptions!$B$42*6</f>
        <v>27000</v>
      </c>
    </row>
    <row r="7" customFormat="false" ht="15" hidden="false" customHeight="false" outlineLevel="0" collapsed="false">
      <c r="A7" s="33" t="s">
        <v>227</v>
      </c>
      <c r="B7" s="8" t="s">
        <v>228</v>
      </c>
      <c r="C7" s="8" t="s">
        <v>229</v>
      </c>
      <c r="D7" s="25" t="n">
        <f aca="false">Assumptions!$B$41*9</f>
        <v>19800</v>
      </c>
    </row>
    <row r="8" customFormat="false" ht="15" hidden="false" customHeight="false" outlineLevel="0" collapsed="false">
      <c r="A8" s="33" t="s">
        <v>230</v>
      </c>
      <c r="B8" s="8" t="s">
        <v>231</v>
      </c>
      <c r="C8" s="8" t="s">
        <v>232</v>
      </c>
      <c r="D8" s="25" t="n">
        <f aca="false">2800*10</f>
        <v>28000</v>
      </c>
    </row>
    <row r="9" customFormat="false" ht="15" hidden="false" customHeight="false" outlineLevel="0" collapsed="false">
      <c r="A9" s="33" t="s">
        <v>233</v>
      </c>
      <c r="B9" s="8" t="s">
        <v>234</v>
      </c>
      <c r="C9" s="8" t="s">
        <v>223</v>
      </c>
      <c r="D9" s="25" t="n">
        <f aca="false">(Assumptions!$B$31+Assumptions!$B$32+Assumptions!$B$33+Assumptions!$B$35)*12</f>
        <v>11160</v>
      </c>
    </row>
    <row r="10" customFormat="false" ht="15" hidden="false" customHeight="false" outlineLevel="0" collapsed="false">
      <c r="A10" s="33" t="s">
        <v>235</v>
      </c>
      <c r="B10" s="8" t="s">
        <v>236</v>
      </c>
      <c r="C10" s="8" t="s">
        <v>223</v>
      </c>
      <c r="D10" s="25" t="n">
        <f aca="false">Assumptions!$B$37*12</f>
        <v>3000</v>
      </c>
    </row>
    <row r="11" customFormat="false" ht="15" hidden="false" customHeight="false" outlineLevel="0" collapsed="false">
      <c r="A11" s="33" t="s">
        <v>237</v>
      </c>
      <c r="B11" s="8" t="s">
        <v>94</v>
      </c>
      <c r="C11" s="8" t="s">
        <v>223</v>
      </c>
      <c r="D11" s="25" t="n">
        <f aca="false">Assumptions!$B$36*12</f>
        <v>9600</v>
      </c>
    </row>
    <row r="12" customFormat="false" ht="15" hidden="false" customHeight="false" outlineLevel="0" collapsed="false">
      <c r="A12" s="33" t="s">
        <v>238</v>
      </c>
      <c r="B12" s="8" t="s">
        <v>239</v>
      </c>
      <c r="C12" s="8" t="s">
        <v>240</v>
      </c>
      <c r="D12" s="20" t="n">
        <v>4000</v>
      </c>
    </row>
    <row r="13" customFormat="false" ht="15" hidden="false" customHeight="false" outlineLevel="0" collapsed="false">
      <c r="A13" s="33" t="s">
        <v>241</v>
      </c>
      <c r="B13" s="8" t="s">
        <v>242</v>
      </c>
      <c r="C13" s="8" t="s">
        <v>240</v>
      </c>
      <c r="D13" s="25" t="n">
        <f aca="false">SUM(D5:D12)*0.15</f>
        <v>16104</v>
      </c>
    </row>
    <row r="14" customFormat="false" ht="15" hidden="false" customHeight="false" outlineLevel="0" collapsed="false">
      <c r="A14" s="37" t="s">
        <v>243</v>
      </c>
      <c r="B14" s="14"/>
      <c r="C14" s="14"/>
      <c r="D14" s="38" t="n">
        <f aca="false">SUM(D5:D13)</f>
        <v>123464</v>
      </c>
    </row>
    <row r="16" customFormat="false" ht="15" hidden="false" customHeight="false" outlineLevel="0" collapsed="false">
      <c r="A16" s="5" t="s">
        <v>244</v>
      </c>
    </row>
    <row r="18" customFormat="false" ht="15" hidden="false" customHeight="false" outlineLevel="0" collapsed="false">
      <c r="A18" s="5" t="s">
        <v>245</v>
      </c>
    </row>
    <row r="19" customFormat="false" ht="15" hidden="false" customHeight="false" outlineLevel="0" collapsed="false">
      <c r="A19" s="5" t="s">
        <v>246</v>
      </c>
    </row>
    <row r="20" customFormat="false" ht="15" hidden="false" customHeight="false" outlineLevel="0" collapsed="false">
      <c r="A20" s="5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2026-09-14T07:22:53Z</dcterms:created>
  <dc:creator>openpyxl</dc:creator>
  <dc:description/>
  <dc:language>en-US</dc:language>
  <cp:lastModifiedBy/>
  <dcterms:modified xsi:type="dcterms:W3CDTF">2026-09-14T07:22:53Z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